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" sheetId="1" r:id="rId5"/>
    <sheet state="visible" name="Resumen_Proceso" sheetId="2" r:id="rId6"/>
    <sheet state="visible" name="Errores" sheetId="3" r:id="rId7"/>
    <sheet state="visible" name="Pruebas" sheetId="4" r:id="rId8"/>
  </sheets>
  <definedNames>
    <definedName hidden="1" localSheetId="0" name="_xlnm._FilterDatabase">Listado!$A$1:$K$865</definedName>
    <definedName hidden="1" localSheetId="1" name="_xlnm._FilterDatabase">Resumen_Proceso!$A$1:$Z$42</definedName>
  </definedNames>
  <calcPr/>
</workbook>
</file>

<file path=xl/sharedStrings.xml><?xml version="1.0" encoding="utf-8"?>
<sst xmlns="http://schemas.openxmlformats.org/spreadsheetml/2006/main" count="6257" uniqueCount="4421">
  <si>
    <t>Nombre_archivo</t>
  </si>
  <si>
    <t>Nombre_imagen</t>
  </si>
  <si>
    <t>ID</t>
  </si>
  <si>
    <t>Img_2</t>
  </si>
  <si>
    <t>Img_1</t>
  </si>
  <si>
    <t>URL</t>
  </si>
  <si>
    <t>URL_VIEW</t>
  </si>
  <si>
    <t>Folder_Name</t>
  </si>
  <si>
    <t>Creado</t>
  </si>
  <si>
    <t>Modificado</t>
  </si>
  <si>
    <t>Folder_ID</t>
  </si>
  <si>
    <t>Acallar a los blasfemos.png</t>
  </si>
  <si>
    <t>Acallar a los blasfemos</t>
  </si>
  <si>
    <t>1bOdcFIb0pVyjQUL-BNzGJHRkC-HouPgn</t>
  </si>
  <si>
    <t>https://drive.google.com/file/d/1bOdcFIb0pVyjQUL-BNzGJHRkC-HouPgn/view?usp=drivesdk</t>
  </si>
  <si>
    <t>https://drive.google.com/uc?export=view&amp;id=1bOdcFIb0pVyjQUL-BNzGJHRkC-HouPgn</t>
  </si>
  <si>
    <t>Habilidades</t>
  </si>
  <si>
    <t>1pn5F2VQnRl--biDGLFvO5ppUUHurXo1W</t>
  </si>
  <si>
    <t>Acallar a los blasfemos_bw.png</t>
  </si>
  <si>
    <t>Acallar a los blasfemos bw</t>
  </si>
  <si>
    <t>1xhPrB-9-VSuyAFngRzrur68XeML3sSpn</t>
  </si>
  <si>
    <t>https://drive.google.com/file/d/1xhPrB-9-VSuyAFngRzrur68XeML3sSpn/view?usp=drivesdk</t>
  </si>
  <si>
    <t>https://drive.google.com/uc?export=view&amp;id=1xhPrB-9-VSuyAFngRzrur68XeML3sSpn</t>
  </si>
  <si>
    <t>Habilidades_bn</t>
  </si>
  <si>
    <t>15pQLoHYIZQGaHuRWdCPT2axVrUapICVV</t>
  </si>
  <si>
    <t>Acción astuta.png</t>
  </si>
  <si>
    <t>Acción astuta</t>
  </si>
  <si>
    <t>13JnQjJ7FS02czMeME3qFSUQpHh1C6fZ2</t>
  </si>
  <si>
    <t>https://drive.google.com/file/d/13JnQjJ7FS02czMeME3qFSUQpHh1C6fZ2/view?usp=drivesdk</t>
  </si>
  <si>
    <t>https://drive.google.com/uc?export=view&amp;id=13JnQjJ7FS02czMeME3qFSUQpHh1C6fZ2</t>
  </si>
  <si>
    <t>Talentos</t>
  </si>
  <si>
    <t>1nbH0kg5Qtfx6CZjrrGQiEMqjIxCYkYkn</t>
  </si>
  <si>
    <t>Acechar y cazar.png</t>
  </si>
  <si>
    <t>Acechar y cazar</t>
  </si>
  <si>
    <t>19OjiGazXeIB8XMlGrhyTeEsuSw_gbuBm</t>
  </si>
  <si>
    <t>https://drive.google.com/file/d/19OjiGazXeIB8XMlGrhyTeEsuSw_gbuBm/view?usp=drivesdk</t>
  </si>
  <si>
    <t>https://drive.google.com/uc?export=view&amp;id=19OjiGazXeIB8XMlGrhyTeEsuSw_gbuBm</t>
  </si>
  <si>
    <t>Acechar y cazar_bw.png</t>
  </si>
  <si>
    <t>Acechar y cazar bw</t>
  </si>
  <si>
    <t>1e71cvkL4Ok1TMuyPJMKlwVJkuXGSll5f</t>
  </si>
  <si>
    <t>https://drive.google.com/file/d/1e71cvkL4Ok1TMuyPJMKlwVJkuXGSll5f/view?usp=drivesdk</t>
  </si>
  <si>
    <t>https://drive.google.com/uc?export=view&amp;id=1e71cvkL4Ok1TMuyPJMKlwVJkuXGSll5f</t>
  </si>
  <si>
    <t>Adaptado al clima.png</t>
  </si>
  <si>
    <t>Adaptado al clima</t>
  </si>
  <si>
    <t>1dsZdI-HPlnv_yWyFbAeFV0lZ2Q1YQ0Dz</t>
  </si>
  <si>
    <t>https://drive.google.com/file/d/1dsZdI-HPlnv_yWyFbAeFV0lZ2Q1YQ0Dz/view?usp=drivesdk</t>
  </si>
  <si>
    <t>https://drive.google.com/uc?export=view&amp;id=1dsZdI-HPlnv_yWyFbAeFV0lZ2Q1YQ0Dz</t>
  </si>
  <si>
    <t>Adaptado al clima_bw.png</t>
  </si>
  <si>
    <t>Adaptado al clima bw</t>
  </si>
  <si>
    <t>1SD2cgZqJEY5iSVqtmTF9L2XlyQhY_5dT</t>
  </si>
  <si>
    <t>https://drive.google.com/file/d/1SD2cgZqJEY5iSVqtmTF9L2XlyQhY_5dT/view?usp=drivesdk</t>
  </si>
  <si>
    <t>https://drive.google.com/uc?export=view&amp;id=1SD2cgZqJEY5iSVqtmTF9L2XlyQhY_5dT</t>
  </si>
  <si>
    <t>Afortunado.png</t>
  </si>
  <si>
    <t>Afortunado</t>
  </si>
  <si>
    <t>1ZVMMbiYfzlWRtWqP0zibn6y7PyvdhAXi</t>
  </si>
  <si>
    <t>https://drive.google.com/file/d/1ZVMMbiYfzlWRtWqP0zibn6y7PyvdhAXi/view?usp=drivesdk</t>
  </si>
  <si>
    <t>https://drive.google.com/uc?export=view&amp;id=1ZVMMbiYfzlWRtWqP0zibn6y7PyvdhAXi</t>
  </si>
  <si>
    <t>1e_tyOslk0VEQ_B-1V_8tbXKHzjB1Egic</t>
  </si>
  <si>
    <t>Agarrado.jpg</t>
  </si>
  <si>
    <t>Agarrado</t>
  </si>
  <si>
    <t>1lM4oOh06mNhWSOQrKWpUgPoja2qJF0x8</t>
  </si>
  <si>
    <t>https://drive.google.com/file/d/1lM4oOh06mNhWSOQrKWpUgPoja2qJF0x8/view?usp=drivesdk</t>
  </si>
  <si>
    <t>https://drive.google.com/uc?export=view&amp;id=1lM4oOh06mNhWSOQrKWpUgPoja2qJF0x8</t>
  </si>
  <si>
    <t>Estados</t>
  </si>
  <si>
    <t>1iTqki5QlhuXU2JBFu5Hhknn0bie0uD40</t>
  </si>
  <si>
    <t>Agilidad.png</t>
  </si>
  <si>
    <t>Agilidad</t>
  </si>
  <si>
    <t>1r4_NJbYl8qIDrmcRJe1ans1nRQT2e5e6</t>
  </si>
  <si>
    <t>https://drive.google.com/file/d/1r4_NJbYl8qIDrmcRJe1ans1nRQT2e5e6/view?usp=drivesdk</t>
  </si>
  <si>
    <t>https://drive.google.com/uc?export=view&amp;id=1r4_NJbYl8qIDrmcRJe1ans1nRQT2e5e6</t>
  </si>
  <si>
    <t>Estadísticas</t>
  </si>
  <si>
    <t>13wYaGS3DrATZKaG-f3WA17B6ZvZnSVLa</t>
  </si>
  <si>
    <t>Agilidad de los terra-itas.png</t>
  </si>
  <si>
    <t>Agilidad de los terra-itas</t>
  </si>
  <si>
    <t>17JeaNqQyelC8g1Lk4hebw-omzghYNVYd</t>
  </si>
  <si>
    <t>https://drive.google.com/file/d/17JeaNqQyelC8g1Lk4hebw-omzghYNVYd/view?usp=drivesdk</t>
  </si>
  <si>
    <t>https://drive.google.com/uc?export=view&amp;id=17JeaNqQyelC8g1Lk4hebw-omzghYNVYd</t>
  </si>
  <si>
    <t>Agilidad de los trasgos.png</t>
  </si>
  <si>
    <t>Agilidad de los trasgos</t>
  </si>
  <si>
    <t>10wKZj06QELOmpLZVqmULzdId3r_vjlCf</t>
  </si>
  <si>
    <t>https://drive.google.com/file/d/10wKZj06QELOmpLZVqmULzdId3r_vjlCf/view?usp=drivesdk</t>
  </si>
  <si>
    <t>https://drive.google.com/uc?export=view&amp;id=10wKZj06QELOmpLZVqmULzdId3r_vjlCf</t>
  </si>
  <si>
    <t>Agilidad Salvaje.png</t>
  </si>
  <si>
    <t>Agilidad Salvaje</t>
  </si>
  <si>
    <t>1H720l-bBtPZSSq74ifjJH-Br6gVIpkG3</t>
  </si>
  <si>
    <t>https://drive.google.com/file/d/1H720l-bBtPZSSq74ifjJH-Br6gVIpkG3/view?usp=drivesdk</t>
  </si>
  <si>
    <t>https://drive.google.com/uc?export=view&amp;id=1H720l-bBtPZSSq74ifjJH-Br6gVIpkG3</t>
  </si>
  <si>
    <t>Agua.png</t>
  </si>
  <si>
    <t>Agua</t>
  </si>
  <si>
    <t>1H3nvYC9a2WLcTDitDSjd4cCQDnV2oEVp</t>
  </si>
  <si>
    <t>https://drive.google.com/file/d/1H3nvYC9a2WLcTDitDSjd4cCQDnV2oEVp/view?usp=drivesdk</t>
  </si>
  <si>
    <t>https://drive.google.com/uc?export=view&amp;id=1H3nvYC9a2WLcTDitDSjd4cCQDnV2oEVp</t>
  </si>
  <si>
    <t>Reactivos y Recipientes</t>
  </si>
  <si>
    <t>1JsJBC3bg-VVUjxuBDQdk1cttbmT0Xk6j</t>
  </si>
  <si>
    <t>Aguas sanadoras.png</t>
  </si>
  <si>
    <t>Aguas sanadoras</t>
  </si>
  <si>
    <t>1VJVa_HN5D4QLi9agcyVmGpSNwkPTyQpL</t>
  </si>
  <si>
    <t>https://drive.google.com/file/d/1VJVa_HN5D4QLi9agcyVmGpSNwkPTyQpL/view?usp=drivesdk</t>
  </si>
  <si>
    <t>https://drive.google.com/uc?export=view&amp;id=1VJVa_HN5D4QLi9agcyVmGpSNwkPTyQpL</t>
  </si>
  <si>
    <t>Aguas sanadoras_bw.png</t>
  </si>
  <si>
    <t>Aguas sanadoras bw</t>
  </si>
  <si>
    <t>1uE7k4OC715M-y0etY-ZJ3z7b62LlOXbh</t>
  </si>
  <si>
    <t>https://drive.google.com/file/d/1uE7k4OC715M-y0etY-ZJ3z7b62LlOXbh/view?usp=drivesdk</t>
  </si>
  <si>
    <t>https://drive.google.com/uc?export=view&amp;id=1uE7k4OC715M-y0etY-ZJ3z7b62LlOXbh</t>
  </si>
  <si>
    <t>Ajo.png</t>
  </si>
  <si>
    <t>Ajo</t>
  </si>
  <si>
    <t>1wGB7S1NA9EWp4vG8Rhecp9JibImHTFo4</t>
  </si>
  <si>
    <t>https://drive.google.com/file/d/1wGB7S1NA9EWp4vG8Rhecp9JibImHTFo4/view?usp=drivesdk</t>
  </si>
  <si>
    <t>https://drive.google.com/uc?export=view&amp;id=1wGB7S1NA9EWp4vG8Rhecp9JibImHTFo4</t>
  </si>
  <si>
    <t>Alabarda.png</t>
  </si>
  <si>
    <t>Alabarda</t>
  </si>
  <si>
    <t>1ygEaDA90jINF8d7llEYoWgl9zmSlTGgR</t>
  </si>
  <si>
    <t>https://drive.google.com/file/d/1ygEaDA90jINF8d7llEYoWgl9zmSlTGgR/view?usp=drivesdk</t>
  </si>
  <si>
    <t>https://drive.google.com/uc?export=view&amp;id=1ygEaDA90jINF8d7llEYoWgl9zmSlTGgR</t>
  </si>
  <si>
    <t>Armas</t>
  </si>
  <si>
    <t>1YR5bWl7rK5vLghBh79IKlHfacqdchiYh</t>
  </si>
  <si>
    <t>Alabardero Saxnarita.png</t>
  </si>
  <si>
    <t>Alabardero Saxnarita</t>
  </si>
  <si>
    <t>1TEFQ5pgpCql5Lg09o99bR5v2jx6yHqs0</t>
  </si>
  <si>
    <t>https://drive.google.com/file/d/1TEFQ5pgpCql5Lg09o99bR5v2jx6yHqs0/view?usp=drivesdk</t>
  </si>
  <si>
    <t>https://drive.google.com/uc?export=view&amp;id=1TEFQ5pgpCql5Lg09o99bR5v2jx6yHqs0</t>
  </si>
  <si>
    <t>Saxnaria</t>
  </si>
  <si>
    <t>1o3FQxV6BtMfNApcqh0lrWpLZVa-ck6at</t>
  </si>
  <si>
    <t>Alcance.png</t>
  </si>
  <si>
    <t>Alcance</t>
  </si>
  <si>
    <t>1q1FRZ8xbNXH7beXroq91CneyR0bcvcp0</t>
  </si>
  <si>
    <t>https://drive.google.com/file/d/1q1FRZ8xbNXH7beXroq91CneyR0bcvcp0/view?usp=drivesdk</t>
  </si>
  <si>
    <t>https://drive.google.com/uc?export=view&amp;id=1q1FRZ8xbNXH7beXroq91CneyR0bcvcp0</t>
  </si>
  <si>
    <t>Habilidades de Armas</t>
  </si>
  <si>
    <t>1IF9d18H6pUeL9k5Shh3R0woRenA7BNZE</t>
  </si>
  <si>
    <t>ALFARH_FEMENINO.png</t>
  </si>
  <si>
    <t>ALFARH FEMENINO</t>
  </si>
  <si>
    <t>1DYcfNl_Ff8S-XztEF_NtqOoL48yD2dI-</t>
  </si>
  <si>
    <t>https://drive.google.com/file/d/1DYcfNl_Ff8S-XztEF_NtqOoL48yD2dI-/view?usp=drivesdk</t>
  </si>
  <si>
    <t>https://drive.google.com/uc?export=view&amp;id=1DYcfNl_Ff8S-XztEF_NtqOoL48yD2dI-</t>
  </si>
  <si>
    <t>Avatar</t>
  </si>
  <si>
    <t>1fvopVen333JoaN3Mvw8NkISWU5m_8Rt3</t>
  </si>
  <si>
    <t>ALFARH_MASCULINO.png</t>
  </si>
  <si>
    <t>ALFARH MASCULINO</t>
  </si>
  <si>
    <t>1K0AT1A83DAUHuH02sV0RkUxjMZn5wLbK</t>
  </si>
  <si>
    <t>https://drive.google.com/file/d/1K0AT1A83DAUHuH02sV0RkUxjMZn5wLbK/view?usp=drivesdk</t>
  </si>
  <si>
    <t>https://drive.google.com/uc?export=view&amp;id=1K0AT1A83DAUHuH02sV0RkUxjMZn5wLbK</t>
  </si>
  <si>
    <t>ALFARH MESTIZO_FEMENINO.png</t>
  </si>
  <si>
    <t>ALFARH MESTIZO FEMENINO</t>
  </si>
  <si>
    <t>1e_Key0ndoPhsglgu8mZoCNFlzc48ULz-</t>
  </si>
  <si>
    <t>https://drive.google.com/file/d/1e_Key0ndoPhsglgu8mZoCNFlzc48ULz-/view?usp=drivesdk</t>
  </si>
  <si>
    <t>https://drive.google.com/uc?export=view&amp;id=1e_Key0ndoPhsglgu8mZoCNFlzc48ULz-</t>
  </si>
  <si>
    <t>ALFARH MESTIZO_MASCULINO.png</t>
  </si>
  <si>
    <t>ALFARH MESTIZO MASCULINO</t>
  </si>
  <si>
    <t>1fm2CxjXqMBPl57S3gKyFjIUuzZF0Svbx</t>
  </si>
  <si>
    <t>https://drive.google.com/file/d/1fm2CxjXqMBPl57S3gKyFjIUuzZF0Svbx/view?usp=drivesdk</t>
  </si>
  <si>
    <t>https://drive.google.com/uc?export=view&amp;id=1fm2CxjXqMBPl57S3gKyFjIUuzZF0Svbx</t>
  </si>
  <si>
    <t>Aliento helado.png</t>
  </si>
  <si>
    <t>Aliento helado</t>
  </si>
  <si>
    <t>1KL1ItwsD1rOoWhoDomJC3ghWizwDNfPJ</t>
  </si>
  <si>
    <t>https://drive.google.com/file/d/1KL1ItwsD1rOoWhoDomJC3ghWizwDNfPJ/view?usp=drivesdk</t>
  </si>
  <si>
    <t>https://drive.google.com/uc?export=view&amp;id=1KL1ItwsD1rOoWhoDomJC3ghWizwDNfPJ</t>
  </si>
  <si>
    <t>Aliento helado_bw.png</t>
  </si>
  <si>
    <t>Aliento helado bw</t>
  </si>
  <si>
    <t>1a-SBHxV_JjGkEpkkD7P14sJGhuSEoKJu</t>
  </si>
  <si>
    <t>https://drive.google.com/file/d/1a-SBHxV_JjGkEpkkD7P14sJGhuSEoKJu/view?usp=drivesdk</t>
  </si>
  <si>
    <t>https://drive.google.com/uc?export=view&amp;id=1a-SBHxV_JjGkEpkkD7P14sJGhuSEoKJu</t>
  </si>
  <si>
    <t>Alma de diamante.png</t>
  </si>
  <si>
    <t>Alma de diamante</t>
  </si>
  <si>
    <t>13D66IkPHLGIo4bkunrYMMCyuECoK0zNK</t>
  </si>
  <si>
    <t>https://drive.google.com/file/d/13D66IkPHLGIo4bkunrYMMCyuECoK0zNK/view?usp=drivesdk</t>
  </si>
  <si>
    <t>https://drive.google.com/uc?export=view&amp;id=13D66IkPHLGIo4bkunrYMMCyuECoK0zNK</t>
  </si>
  <si>
    <t>Almendras.png</t>
  </si>
  <si>
    <t>Almendras</t>
  </si>
  <si>
    <t>1ON9GNsOJz7SZkshkHUQluPg9bZKFowyO</t>
  </si>
  <si>
    <t>https://drive.google.com/file/d/1ON9GNsOJz7SZkshkHUQluPg9bZKFowyO/view?usp=drivesdk</t>
  </si>
  <si>
    <t>https://drive.google.com/uc?export=view&amp;id=1ON9GNsOJz7SZkshkHUQluPg9bZKFowyO</t>
  </si>
  <si>
    <t>Alquimia.png</t>
  </si>
  <si>
    <t>Alquimia</t>
  </si>
  <si>
    <t>1bgC0_ihUsTcqOJqSCd4KvqiqCvl5VaUV</t>
  </si>
  <si>
    <t>https://drive.google.com/file/d/1bgC0_ihUsTcqOJqSCd4KvqiqCvl5VaUV/view?usp=drivesdk</t>
  </si>
  <si>
    <t>https://drive.google.com/uc?export=view&amp;id=1bgC0_ihUsTcqOJqSCd4KvqiqCvl5VaUV</t>
  </si>
  <si>
    <t>Conocimientos</t>
  </si>
  <si>
    <t>1WCyNqpHYBCIA6sDyTD7s-Xw1w8kq44K2</t>
  </si>
  <si>
    <t>ALSEIH_FEMENINO.png</t>
  </si>
  <si>
    <t>ALSEIH FEMENINO</t>
  </si>
  <si>
    <t>127gTL2-YZlJjTNzZpY2cdfwNE3aVTIXV</t>
  </si>
  <si>
    <t>https://drive.google.com/file/d/127gTL2-YZlJjTNzZpY2cdfwNE3aVTIXV/view?usp=drivesdk</t>
  </si>
  <si>
    <t>https://drive.google.com/uc?export=view&amp;id=127gTL2-YZlJjTNzZpY2cdfwNE3aVTIXV</t>
  </si>
  <si>
    <t>ALSEIH_MASCULINO.png</t>
  </si>
  <si>
    <t>ALSEIH MASCULINO</t>
  </si>
  <si>
    <t>1IeJYrjQUwAhKyfE8801_Uj3hXGPhNY0m</t>
  </si>
  <si>
    <t>https://drive.google.com/file/d/1IeJYrjQUwAhKyfE8801_Uj3hXGPhNY0m/view?usp=drivesdk</t>
  </si>
  <si>
    <t>https://drive.google.com/uc?export=view&amp;id=1IeJYrjQUwAhKyfE8801_Uj3hXGPhNY0m</t>
  </si>
  <si>
    <t>ALSEIH MESTIZO_FEMENINO.png</t>
  </si>
  <si>
    <t>ALSEIH MESTIZO FEMENINO</t>
  </si>
  <si>
    <t>15AvGPiGcOXN-4OzhfykS-7X5j8G5qqqp</t>
  </si>
  <si>
    <t>https://drive.google.com/file/d/15AvGPiGcOXN-4OzhfykS-7X5j8G5qqqp/view?usp=drivesdk</t>
  </si>
  <si>
    <t>https://drive.google.com/uc?export=view&amp;id=15AvGPiGcOXN-4OzhfykS-7X5j8G5qqqp</t>
  </si>
  <si>
    <t>ALSEIH MESTIZO_MASCULINO.png</t>
  </si>
  <si>
    <t>ALSEIH MESTIZO MASCULINO</t>
  </si>
  <si>
    <t>1z5ozPIbe14Hq_v5shu60Iy3EF4dPTEYa</t>
  </si>
  <si>
    <t>https://drive.google.com/file/d/1z5ozPIbe14Hq_v5shu60Iy3EF4dPTEYa/view?usp=drivesdk</t>
  </si>
  <si>
    <t>https://drive.google.com/uc?export=view&amp;id=1z5ozPIbe14Hq_v5shu60Iy3EF4dPTEYa</t>
  </si>
  <si>
    <t>Alzar a los muertos.png</t>
  </si>
  <si>
    <t>Alzar a los muertos</t>
  </si>
  <si>
    <t>1tYIDu12BRnpnFis1iDi98XtgFJt2RJaY</t>
  </si>
  <si>
    <t>https://drive.google.com/file/d/1tYIDu12BRnpnFis1iDi98XtgFJt2RJaY/view?usp=drivesdk</t>
  </si>
  <si>
    <t>https://drive.google.com/uc?export=view&amp;id=1tYIDu12BRnpnFis1iDi98XtgFJt2RJaY</t>
  </si>
  <si>
    <t>Alzar a los muertos_bw.png</t>
  </si>
  <si>
    <t>Alzar a los muertos bw</t>
  </si>
  <si>
    <t>1QXUxBTird7lptP5pR6G-zRndm-feR4wo</t>
  </si>
  <si>
    <t>https://drive.google.com/file/d/1QXUxBTird7lptP5pR6G-zRndm-feR4wo/view?usp=drivesdk</t>
  </si>
  <si>
    <t>https://drive.google.com/uc?export=view&amp;id=1QXUxBTird7lptP5pR6G-zRndm-feR4wo</t>
  </si>
  <si>
    <t>Amague.png</t>
  </si>
  <si>
    <t>Amague</t>
  </si>
  <si>
    <t>1AD16-tc1wUxJCdfgOSA08pG6vYSzFmL5</t>
  </si>
  <si>
    <t>https://drive.google.com/file/d/1AD16-tc1wUxJCdfgOSA08pG6vYSzFmL5/view?usp=drivesdk</t>
  </si>
  <si>
    <t>https://drive.google.com/uc?export=view&amp;id=1AD16-tc1wUxJCdfgOSA08pG6vYSzFmL5</t>
  </si>
  <si>
    <t>Amague_bw.png</t>
  </si>
  <si>
    <t>Amague bw</t>
  </si>
  <si>
    <t>1goyINUYuYXIdGA5AUUsAuIASAg9ai33z</t>
  </si>
  <si>
    <t>https://drive.google.com/file/d/1goyINUYuYXIdGA5AUUsAuIASAg9ai33z/view?usp=drivesdk</t>
  </si>
  <si>
    <t>https://drive.google.com/uc?export=view&amp;id=1goyINUYuYXIdGA5AUUsAuIASAg9ai33z</t>
  </si>
  <si>
    <t>Anclar alma.png</t>
  </si>
  <si>
    <t>Anclar alma</t>
  </si>
  <si>
    <t>1hbOGvcaTg4aWhA06tNmwQvwM4oFWqCCs</t>
  </si>
  <si>
    <t>https://drive.google.com/file/d/1hbOGvcaTg4aWhA06tNmwQvwM4oFWqCCs/view?usp=drivesdk</t>
  </si>
  <si>
    <t>https://drive.google.com/uc?export=view&amp;id=1hbOGvcaTg4aWhA06tNmwQvwM4oFWqCCs</t>
  </si>
  <si>
    <t>Animal espiritual.png</t>
  </si>
  <si>
    <t>Animal espiritual</t>
  </si>
  <si>
    <t>1pMaKyYxo8WpSVVeJxVwO99dd4leId0N9</t>
  </si>
  <si>
    <t>https://drive.google.com/file/d/1pMaKyYxo8WpSVVeJxVwO99dd4leId0N9/view?usp=drivesdk</t>
  </si>
  <si>
    <t>https://drive.google.com/uc?export=view&amp;id=1pMaKyYxo8WpSVVeJxVwO99dd4leId0N9</t>
  </si>
  <si>
    <t>Anmorvh.png</t>
  </si>
  <si>
    <t>Anmorvh</t>
  </si>
  <si>
    <t>1zksSSkO5b1b9ls0dbHP8pmVPMwI7IjrC</t>
  </si>
  <si>
    <t>https://drive.google.com/file/d/1zksSSkO5b1b9ls0dbHP8pmVPMwI7IjrC/view?usp=drivesdk</t>
  </si>
  <si>
    <t>https://drive.google.com/uc?export=view&amp;id=1zksSSkO5b1b9ls0dbHP8pmVPMwI7IjrC</t>
  </si>
  <si>
    <t>Anheymhin</t>
  </si>
  <si>
    <t>1y9XPR4A2Qan3elZyepFjP950E07M1dC_</t>
  </si>
  <si>
    <t>Anmorvh Anheym.png</t>
  </si>
  <si>
    <t>Anmorvh Anheym</t>
  </si>
  <si>
    <t>1hGqeOP8lk8mPRSVllTegocNIF8RZWtGy</t>
  </si>
  <si>
    <t>https://drive.google.com/file/d/1hGqeOP8lk8mPRSVllTegocNIF8RZWtGy/view?usp=drivesdk</t>
  </si>
  <si>
    <t>https://drive.google.com/uc?export=view&amp;id=1hGqeOP8lk8mPRSVllTegocNIF8RZWtGy</t>
  </si>
  <si>
    <t>Antídoto.png</t>
  </si>
  <si>
    <t>Antídoto</t>
  </si>
  <si>
    <t>1iY-LoEe1zXj1FFmjlimvd22RNqWcVzjL</t>
  </si>
  <si>
    <t>https://drive.google.com/file/d/1iY-LoEe1zXj1FFmjlimvd22RNqWcVzjL/view?usp=drivesdk</t>
  </si>
  <si>
    <t>https://drive.google.com/uc?export=view&amp;id=1iY-LoEe1zXj1FFmjlimvd22RNqWcVzjL</t>
  </si>
  <si>
    <t>1ZjEc2rPVg8eHoY5E5aDKFA9yJxcjg5ay</t>
  </si>
  <si>
    <t>Apaciguar lo salvaje.png</t>
  </si>
  <si>
    <t>Apaciguar lo salvaje</t>
  </si>
  <si>
    <t>1EnLPVxzyh3KbIK_Qs0H5JVLJSiPj9ytW</t>
  </si>
  <si>
    <t>https://drive.google.com/file/d/1EnLPVxzyh3KbIK_Qs0H5JVLJSiPj9ytW/view?usp=drivesdk</t>
  </si>
  <si>
    <t>https://drive.google.com/uc?export=view&amp;id=1EnLPVxzyh3KbIK_Qs0H5JVLJSiPj9ytW</t>
  </si>
  <si>
    <t>Apaciguar lo salvaje_bw.png</t>
  </si>
  <si>
    <t>Apaciguar lo salvaje bw</t>
  </si>
  <si>
    <t>1gcjHwhbuXWp-iGsL_5YdPL0jfkxZTVFm</t>
  </si>
  <si>
    <t>https://drive.google.com/file/d/1gcjHwhbuXWp-iGsL_5YdPL0jfkxZTVFm/view?usp=drivesdk</t>
  </si>
  <si>
    <t>https://drive.google.com/uc?export=view&amp;id=1gcjHwhbuXWp-iGsL_5YdPL0jfkxZTVFm</t>
  </si>
  <si>
    <t>Apresado.jpg</t>
  </si>
  <si>
    <t>Apresado</t>
  </si>
  <si>
    <t>1cnS2Ud9716t5FmtoZj6jTix_PNuRynzr</t>
  </si>
  <si>
    <t>https://drive.google.com/file/d/1cnS2Ud9716t5FmtoZj6jTix_PNuRynzr/view?usp=drivesdk</t>
  </si>
  <si>
    <t>https://drive.google.com/uc?export=view&amp;id=1cnS2Ud9716t5FmtoZj6jTix_PNuRynzr</t>
  </si>
  <si>
    <t>Arcano místico.png</t>
  </si>
  <si>
    <t>Arcano místico</t>
  </si>
  <si>
    <t>1H5Xy5Ktu2FmOEqJXMEqMEoa2h0mUF4c3</t>
  </si>
  <si>
    <t>https://drive.google.com/file/d/1H5Xy5Ktu2FmOEqJXMEqMEoa2h0mUF4c3/view?usp=drivesdk</t>
  </si>
  <si>
    <t>https://drive.google.com/uc?export=view&amp;id=1H5Xy5Ktu2FmOEqJXMEqMEoa2h0mUF4c3</t>
  </si>
  <si>
    <t>Arcanóloga Femenina.png</t>
  </si>
  <si>
    <t>Arcanóloga Femenina</t>
  </si>
  <si>
    <t>1eNHAckRUjfVmt-iP5Ho5ERC8xVCYMH6S</t>
  </si>
  <si>
    <t>https://drive.google.com/file/d/1eNHAckRUjfVmt-iP5Ho5ERC8xVCYMH6S/view?usp=drivesdk</t>
  </si>
  <si>
    <t>https://drive.google.com/uc?export=view&amp;id=1eNHAckRUjfVmt-iP5Ho5ERC8xVCYMH6S</t>
  </si>
  <si>
    <t>Gnossha</t>
  </si>
  <si>
    <t>1fOzm-tBZxtC7eF_XuB2BSfhqJznZlqlT</t>
  </si>
  <si>
    <t>Arcanólogo.png</t>
  </si>
  <si>
    <t>Arcanólogo</t>
  </si>
  <si>
    <t>1SMIMLV9RyOOUugN_3DMB38TxB5eFtWOP</t>
  </si>
  <si>
    <t>https://drive.google.com/file/d/1SMIMLV9RyOOUugN_3DMB38TxB5eFtWOP/view?usp=drivesdk</t>
  </si>
  <si>
    <t>https://drive.google.com/uc?export=view&amp;id=1SMIMLV9RyOOUugN_3DMB38TxB5eFtWOP</t>
  </si>
  <si>
    <t>Arcanólogo Masculino.png</t>
  </si>
  <si>
    <t>Arcanólogo Masculino</t>
  </si>
  <si>
    <t>1DVOvy3Rwgajk_HcyOlhNZSxfll9j5_aU</t>
  </si>
  <si>
    <t>https://drive.google.com/file/d/1DVOvy3Rwgajk_HcyOlhNZSxfll9j5_aU/view?usp=drivesdk</t>
  </si>
  <si>
    <t>https://drive.google.com/uc?export=view&amp;id=1DVOvy3Rwgajk_HcyOlhNZSxfll9j5_aU</t>
  </si>
  <si>
    <t>Arco corto.png</t>
  </si>
  <si>
    <t>Arco corto</t>
  </si>
  <si>
    <t>1C-jQCQZoXGq75FeiLQzuqndbaTl49qWY</t>
  </si>
  <si>
    <t>https://drive.google.com/file/d/1C-jQCQZoXGq75FeiLQzuqndbaTl49qWY/view?usp=drivesdk</t>
  </si>
  <si>
    <t>https://drive.google.com/uc?export=view&amp;id=1C-jQCQZoXGq75FeiLQzuqndbaTl49qWY</t>
  </si>
  <si>
    <t>Arco largo.png</t>
  </si>
  <si>
    <t>Arco largo</t>
  </si>
  <si>
    <t>1syiHCbH6Usbq1GPN0sYnA0oRkOIKG6aP</t>
  </si>
  <si>
    <t>https://drive.google.com/file/d/1syiHCbH6Usbq1GPN0sYnA0oRkOIKG6aP/view?usp=drivesdk</t>
  </si>
  <si>
    <t>https://drive.google.com/uc?export=view&amp;id=1syiHCbH6Usbq1GPN0sYnA0oRkOIKG6aP</t>
  </si>
  <si>
    <t>Arcos y Ballestas.png</t>
  </si>
  <si>
    <t>Arcos y Ballestas</t>
  </si>
  <si>
    <t>1PLb3jAZ6sh9XBVtchJrJxZBWouECmkXY</t>
  </si>
  <si>
    <t>https://drive.google.com/file/d/1PLb3jAZ6sh9XBVtchJrJxZBWouECmkXY/view?usp=drivesdk</t>
  </si>
  <si>
    <t>https://drive.google.com/uc?export=view&amp;id=1PLb3jAZ6sh9XBVtchJrJxZBWouECmkXY</t>
  </si>
  <si>
    <t>Argentea.png</t>
  </si>
  <si>
    <t>Argentea</t>
  </si>
  <si>
    <t>1V3ivKiBJ_QRnNa3tl2EgP2bCw1htGU2k</t>
  </si>
  <si>
    <t>https://drive.google.com/file/d/1V3ivKiBJ_QRnNa3tl2EgP2bCw1htGU2k/view?usp=drivesdk</t>
  </si>
  <si>
    <t>https://drive.google.com/uc?export=view&amp;id=1V3ivKiBJ_QRnNa3tl2EgP2bCw1htGU2k</t>
  </si>
  <si>
    <t>Unidades Monetarias</t>
  </si>
  <si>
    <t>11y1WHtWAOafjf_1AusZjQYGSWfwGZ-M4</t>
  </si>
  <si>
    <t>Arkanor Icon.png</t>
  </si>
  <si>
    <t>Arkanor Icon</t>
  </si>
  <si>
    <t>1MDz4lUYuhwoR2RIx3ROmkLfQ-hGICuTN</t>
  </si>
  <si>
    <t>https://drive.google.com/file/d/1MDz4lUYuhwoR2RIx3ROmkLfQ-hGICuTN/view?usp=drivesdk</t>
  </si>
  <si>
    <t>https://drive.google.com/uc?export=view&amp;id=1MDz4lUYuhwoR2RIx3ROmkLfQ-hGICuTN</t>
  </si>
  <si>
    <t>Icono Arkanor</t>
  </si>
  <si>
    <t>1E2n64xW1ZgcLYEwifBH-fD_1hVSoT6Id</t>
  </si>
  <si>
    <t>Arma espiritual.png</t>
  </si>
  <si>
    <t>Arma espiritual</t>
  </si>
  <si>
    <t>1VjAC0AdCnHPoNKtlgn5-LaIXjnZWe4Af</t>
  </si>
  <si>
    <t>https://drive.google.com/file/d/1VjAC0AdCnHPoNKtlgn5-LaIXjnZWe4Af/view?usp=drivesdk</t>
  </si>
  <si>
    <t>https://drive.google.com/uc?export=view&amp;id=1VjAC0AdCnHPoNKtlgn5-LaIXjnZWe4Af</t>
  </si>
  <si>
    <t>Arma espiritual_bw.png</t>
  </si>
  <si>
    <t>Arma espiritual bw</t>
  </si>
  <si>
    <t>1kt90rcKPVx_NkNBIns6WN5FgDH2ROfaE</t>
  </si>
  <si>
    <t>https://drive.google.com/file/d/1kt90rcKPVx_NkNBIns6WN5FgDH2ROfaE/view?usp=drivesdk</t>
  </si>
  <si>
    <t>https://drive.google.com/uc?export=view&amp;id=1kt90rcKPVx_NkNBIns6WN5FgDH2ROfaE</t>
  </si>
  <si>
    <t>Arma mágica.png</t>
  </si>
  <si>
    <t>Arma mágica</t>
  </si>
  <si>
    <t>1TyBIHf02M54FRa6ISKtiiyWhpjGPaXMj</t>
  </si>
  <si>
    <t>https://drive.google.com/file/d/1TyBIHf02M54FRa6ISKtiiyWhpjGPaXMj/view?usp=drivesdk</t>
  </si>
  <si>
    <t>https://drive.google.com/uc?export=view&amp;id=1TyBIHf02M54FRa6ISKtiiyWhpjGPaXMj</t>
  </si>
  <si>
    <t>Arma mágica_bw.png</t>
  </si>
  <si>
    <t>Arma mágica bw</t>
  </si>
  <si>
    <t>1-0oShcQJielRhKsh2N4HwN6rQhxiFHLD</t>
  </si>
  <si>
    <t>https://drive.google.com/file/d/1-0oShcQJielRhKsh2N4HwN6rQhxiFHLD/view?usp=drivesdk</t>
  </si>
  <si>
    <t>https://drive.google.com/uc?export=view&amp;id=1-0oShcQJielRhKsh2N4HwN6rQhxiFHLD</t>
  </si>
  <si>
    <t>Arma personal.png</t>
  </si>
  <si>
    <t>Arma personal</t>
  </si>
  <si>
    <t>1vGpAr8folAADqvgIOvLC6uXuJzzsGLwp</t>
  </si>
  <si>
    <t>https://drive.google.com/file/d/1vGpAr8folAADqvgIOvLC6uXuJzzsGLwp/view?usp=drivesdk</t>
  </si>
  <si>
    <t>https://drive.google.com/uc?export=view&amp;id=1vGpAr8folAADqvgIOvLC6uXuJzzsGLwp</t>
  </si>
  <si>
    <t>Arma sagrada.png</t>
  </si>
  <si>
    <t>Arma sagrada</t>
  </si>
  <si>
    <t>1z4-VTwy2be3l6cP9mf9BeMk4NWzCWXid</t>
  </si>
  <si>
    <t>https://drive.google.com/file/d/1z4-VTwy2be3l6cP9mf9BeMk4NWzCWXid/view?usp=drivesdk</t>
  </si>
  <si>
    <t>https://drive.google.com/uc?export=view&amp;id=1z4-VTwy2be3l6cP9mf9BeMk4NWzCWXid</t>
  </si>
  <si>
    <t>Arma sagrada_bw.png</t>
  </si>
  <si>
    <t>Arma sagrada bw</t>
  </si>
  <si>
    <t>1hpeeoOTOjFEpBsAKrjiGTfBas4kGmJU6</t>
  </si>
  <si>
    <t>https://drive.google.com/file/d/1hpeeoOTOjFEpBsAKrjiGTfBas4kGmJU6/view?usp=drivesdk</t>
  </si>
  <si>
    <t>https://drive.google.com/uc?export=view&amp;id=1hpeeoOTOjFEpBsAKrjiGTfBas4kGmJU6</t>
  </si>
  <si>
    <t>Armadura acolchada.jpg</t>
  </si>
  <si>
    <t>Armadura acolchada</t>
  </si>
  <si>
    <t>1QkpmkOPmAiRmVOSbunoPPiYX0jyO2RPa</t>
  </si>
  <si>
    <t>https://drive.google.com/file/d/1QkpmkOPmAiRmVOSbunoPPiYX0jyO2RPa/view?usp=drivesdk</t>
  </si>
  <si>
    <t>https://drive.google.com/uc?export=view&amp;id=1QkpmkOPmAiRmVOSbunoPPiYX0jyO2RPa</t>
  </si>
  <si>
    <t>Armaduras</t>
  </si>
  <si>
    <t>1ktUoJF8yarAkjsWt1WJl6sI_fvu8Xyj9</t>
  </si>
  <si>
    <t>Armadura arcana.png</t>
  </si>
  <si>
    <t>Armadura arcana</t>
  </si>
  <si>
    <t>16elZLizTz1pfOZuoEakDM1dlSfSyPua-</t>
  </si>
  <si>
    <t>https://drive.google.com/file/d/16elZLizTz1pfOZuoEakDM1dlSfSyPua-/view?usp=drivesdk</t>
  </si>
  <si>
    <t>https://drive.google.com/uc?export=view&amp;id=16elZLizTz1pfOZuoEakDM1dlSfSyPua-</t>
  </si>
  <si>
    <t>Armadura arcana_bw.png</t>
  </si>
  <si>
    <t>Armadura arcana bw</t>
  </si>
  <si>
    <t>1tAnlONf9BP74DAGamxsGoZf1FB5DOLF6</t>
  </si>
  <si>
    <t>https://drive.google.com/file/d/1tAnlONf9BP74DAGamxsGoZf1FB5DOLF6/view?usp=drivesdk</t>
  </si>
  <si>
    <t>https://drive.google.com/uc?export=view&amp;id=1tAnlONf9BP74DAGamxsGoZf1FB5DOLF6</t>
  </si>
  <si>
    <t>Armadura de bandas.png</t>
  </si>
  <si>
    <t>Armadura de bandas</t>
  </si>
  <si>
    <t>1_aW1mp6N7bBZgv1HLqKe0tjotiEcJXkd</t>
  </si>
  <si>
    <t>https://drive.google.com/file/d/1_aW1mp6N7bBZgv1HLqKe0tjotiEcJXkd/view?usp=drivesdk</t>
  </si>
  <si>
    <t>https://drive.google.com/uc?export=view&amp;id=1_aW1mp6N7bBZgv1HLqKe0tjotiEcJXkd</t>
  </si>
  <si>
    <t>Armadura de pieles.png</t>
  </si>
  <si>
    <t>Armadura de pieles</t>
  </si>
  <si>
    <t>1Fe-WkWlpigZVNb8wM2e2yULS0Tk-TRmn</t>
  </si>
  <si>
    <t>https://drive.google.com/file/d/1Fe-WkWlpigZVNb8wM2e2yULS0Tk-TRmn/view?usp=drivesdk</t>
  </si>
  <si>
    <t>https://drive.google.com/uc?export=view&amp;id=1Fe-WkWlpigZVNb8wM2e2yULS0Tk-TRmn</t>
  </si>
  <si>
    <t>Armadura de placas.png</t>
  </si>
  <si>
    <t>Armadura de placas</t>
  </si>
  <si>
    <t>1vvuHTup_BuRaf7gsHAeL_3Jc9ivf_TaJ</t>
  </si>
  <si>
    <t>https://drive.google.com/file/d/1vvuHTup_BuRaf7gsHAeL_3Jc9ivf_TaJ/view?usp=drivesdk</t>
  </si>
  <si>
    <t>https://drive.google.com/uc?export=view&amp;id=1vvuHTup_BuRaf7gsHAeL_3Jc9ivf_TaJ</t>
  </si>
  <si>
    <t>Armadura Natual.png</t>
  </si>
  <si>
    <t>Armadura Natual</t>
  </si>
  <si>
    <t>1YZEnGF7lAcpxPma8rLQQsxpNYQi21RgU</t>
  </si>
  <si>
    <t>https://drive.google.com/file/d/1YZEnGF7lAcpxPma8rLQQsxpNYQi21RgU/view?usp=drivesdk</t>
  </si>
  <si>
    <t>https://drive.google.com/uc?export=view&amp;id=1YZEnGF7lAcpxPma8rLQQsxpNYQi21RgU</t>
  </si>
  <si>
    <t>Armas de Asta.png</t>
  </si>
  <si>
    <t>Armas de Asta</t>
  </si>
  <si>
    <t>18X1visHfCshDS4oBdseRaWg6JtWKBXoN</t>
  </si>
  <si>
    <t>https://drive.google.com/file/d/18X1visHfCshDS4oBdseRaWg6JtWKBXoN/view?usp=drivesdk</t>
  </si>
  <si>
    <t>https://drive.google.com/uc?export=view&amp;id=18X1visHfCshDS4oBdseRaWg6JtWKBXoN</t>
  </si>
  <si>
    <t>Arpón.jpg</t>
  </si>
  <si>
    <t>Arpón</t>
  </si>
  <si>
    <t>1zT-oiukZYjTcde1Rf2LRmyPq6FK0AQ5s</t>
  </si>
  <si>
    <t>https://drive.google.com/file/d/1zT-oiukZYjTcde1Rf2LRmyPq6FK0AQ5s/view?usp=drivesdk</t>
  </si>
  <si>
    <t>https://drive.google.com/uc?export=view&amp;id=1zT-oiukZYjTcde1Rf2LRmyPq6FK0AQ5s</t>
  </si>
  <si>
    <t>Arquero a caballo Anheym.png</t>
  </si>
  <si>
    <t>Arquero a caballo Anheym</t>
  </si>
  <si>
    <t>15GvOUZ4Bi4TWr38FNDdVsxQBtndGsipV</t>
  </si>
  <si>
    <t>https://drive.google.com/file/d/15GvOUZ4Bi4TWr38FNDdVsxQBtndGsipV/view?usp=drivesdk</t>
  </si>
  <si>
    <t>https://drive.google.com/uc?export=view&amp;id=15GvOUZ4Bi4TWr38FNDdVsxQBtndGsipV</t>
  </si>
  <si>
    <t>Arquero Alfarh.png</t>
  </si>
  <si>
    <t>Arquero Alfarh</t>
  </si>
  <si>
    <t>14VrXFU6vVr-R2_3xH8SGfoquzSb4Vghg</t>
  </si>
  <si>
    <t>https://drive.google.com/file/d/14VrXFU6vVr-R2_3xH8SGfoquzSb4Vghg/view?usp=drivesdk</t>
  </si>
  <si>
    <t>https://drive.google.com/uc?export=view&amp;id=14VrXFU6vVr-R2_3xH8SGfoquzSb4Vghg</t>
  </si>
  <si>
    <t>Snossheim</t>
  </si>
  <si>
    <t>14fmugJ0RBX9vWXRnGag75-6eEPropmAq</t>
  </si>
  <si>
    <t>Arquero Anheym.png</t>
  </si>
  <si>
    <t>Arquero Anheym</t>
  </si>
  <si>
    <t>1XOxEMCy0h-arfa37orUCuUqFEP62iOvu</t>
  </si>
  <si>
    <t>https://drive.google.com/file/d/1XOxEMCy0h-arfa37orUCuUqFEP62iOvu/view?usp=drivesdk</t>
  </si>
  <si>
    <t>https://drive.google.com/uc?export=view&amp;id=1XOxEMCy0h-arfa37orUCuUqFEP62iOvu</t>
  </si>
  <si>
    <t>Arquero Gnosshiano.png</t>
  </si>
  <si>
    <t>Arquero Gnosshiano</t>
  </si>
  <si>
    <t>1FIENA6mdqSQ3iN5yN1agnIYhjmB5Q1jX</t>
  </si>
  <si>
    <t>https://drive.google.com/file/d/1FIENA6mdqSQ3iN5yN1agnIYhjmB5Q1jX/view?usp=drivesdk</t>
  </si>
  <si>
    <t>https://drive.google.com/uc?export=view&amp;id=1FIENA6mdqSQ3iN5yN1agnIYhjmB5Q1jX</t>
  </si>
  <si>
    <t>Arquero Montado Alfarh.png</t>
  </si>
  <si>
    <t>Arquero Montado Alfarh</t>
  </si>
  <si>
    <t>1GqAF0Adp5yZK4Ii2DdHdyVwoOD1ndn0z</t>
  </si>
  <si>
    <t>https://drive.google.com/file/d/1GqAF0Adp5yZK4Ii2DdHdyVwoOD1ndn0z/view?usp=drivesdk</t>
  </si>
  <si>
    <t>https://drive.google.com/uc?export=view&amp;id=1GqAF0Adp5yZK4Ii2DdHdyVwoOD1ndn0z</t>
  </si>
  <si>
    <t>Arquero Praviano.png</t>
  </si>
  <si>
    <t>Arquero Praviano</t>
  </si>
  <si>
    <t>1Bti7nB2XFDmr2xSYnb4YNv-prdERORVD</t>
  </si>
  <si>
    <t>https://drive.google.com/file/d/1Bti7nB2XFDmr2xSYnb4YNv-prdERORVD/view?usp=drivesdk</t>
  </si>
  <si>
    <t>https://drive.google.com/uc?export=view&amp;id=1Bti7nB2XFDmr2xSYnb4YNv-prdERORVD</t>
  </si>
  <si>
    <t>Pravia</t>
  </si>
  <si>
    <t>1pltt0s_sfajG_6Pu7obcOWvKvVUMyplL</t>
  </si>
  <si>
    <t>Arrebato Senil.png</t>
  </si>
  <si>
    <t>Arrebato Senil</t>
  </si>
  <si>
    <t>1VMunxpPftCaE9Ekl8RReDHVf9ci66hae</t>
  </si>
  <si>
    <t>https://drive.google.com/file/d/1VMunxpPftCaE9Ekl8RReDHVf9ci66hae/view?usp=drivesdk</t>
  </si>
  <si>
    <t>https://drive.google.com/uc?export=view&amp;id=1VMunxpPftCaE9Ekl8RReDHVf9ci66hae</t>
  </si>
  <si>
    <t>Arrojadiza.png</t>
  </si>
  <si>
    <t>Arrojadiza</t>
  </si>
  <si>
    <t>1fH5lTo8iQTQdmttNKacfHj-sFK1xaoMQ</t>
  </si>
  <si>
    <t>https://drive.google.com/file/d/1fH5lTo8iQTQdmttNKacfHj-sFK1xaoMQ/view?usp=drivesdk</t>
  </si>
  <si>
    <t>https://drive.google.com/uc?export=view&amp;id=1fH5lTo8iQTQdmttNKacfHj-sFK1xaoMQ</t>
  </si>
  <si>
    <t>Arrojadizas.png</t>
  </si>
  <si>
    <t>Arrojadizas</t>
  </si>
  <si>
    <t>1IHmZl_kTebtI7oEicq9itFBJVs_EqDYo</t>
  </si>
  <si>
    <t>https://drive.google.com/file/d/1IHmZl_kTebtI7oEicq9itFBJVs_EqDYo/view?usp=drivesdk</t>
  </si>
  <si>
    <t>https://drive.google.com/uc?export=view&amp;id=1IHmZl_kTebtI7oEicq9itFBJVs_EqDYo</t>
  </si>
  <si>
    <t>Asado de Ave.png</t>
  </si>
  <si>
    <t>Asado de Ave</t>
  </si>
  <si>
    <t>1YHcLb-tUPNvV17CjY-HKLHElz7gjNqks</t>
  </si>
  <si>
    <t>https://drive.google.com/file/d/1YHcLb-tUPNvV17CjY-HKLHElz7gjNqks/view?usp=drivesdk</t>
  </si>
  <si>
    <t>https://drive.google.com/uc?export=view&amp;id=1YHcLb-tUPNvV17CjY-HKLHElz7gjNqks</t>
  </si>
  <si>
    <t>Cocina</t>
  </si>
  <si>
    <t>1jOHmlz9HSu9lS_DhIxEblr5dOKIhvUEO</t>
  </si>
  <si>
    <t>Asolar.png</t>
  </si>
  <si>
    <t>Asolar</t>
  </si>
  <si>
    <t>1fIlrgssdiY6pA7QrIncwVBOdqfjeRpqh</t>
  </si>
  <si>
    <t>https://drive.google.com/file/d/1fIlrgssdiY6pA7QrIncwVBOdqfjeRpqh/view?usp=drivesdk</t>
  </si>
  <si>
    <t>https://drive.google.com/uc?export=view&amp;id=1fIlrgssdiY6pA7QrIncwVBOdqfjeRpqh</t>
  </si>
  <si>
    <t>Asolar_bw.png</t>
  </si>
  <si>
    <t>Asolar bw</t>
  </si>
  <si>
    <t>1N_E26X19ejvynRpq3glDfpcb3h9g2chz</t>
  </si>
  <si>
    <t>https://drive.google.com/file/d/1N_E26X19ejvynRpq3glDfpcb3h9g2chz/view?usp=drivesdk</t>
  </si>
  <si>
    <t>https://drive.google.com/uc?export=view&amp;id=1N_E26X19ejvynRpq3glDfpcb3h9g2chz</t>
  </si>
  <si>
    <t>Aspis.png</t>
  </si>
  <si>
    <t>Aspis</t>
  </si>
  <si>
    <t>1ev85ECDMBqHD0sQdUsIDPhP84SW9Vfjh</t>
  </si>
  <si>
    <t>https://drive.google.com/file/d/1ev85ECDMBqHD0sQdUsIDPhP84SW9Vfjh/view?usp=drivesdk</t>
  </si>
  <si>
    <t>https://drive.google.com/uc?export=view&amp;id=1ev85ECDMBqHD0sQdUsIDPhP84SW9Vfjh</t>
  </si>
  <si>
    <t>Aspis Dorado.png</t>
  </si>
  <si>
    <t>Aspis Dorado</t>
  </si>
  <si>
    <t>1qexK0cGykI3GmUPIpnkvcKqV4hxEdwcw</t>
  </si>
  <si>
    <t>https://drive.google.com/file/d/1qexK0cGykI3GmUPIpnkvcKqV4hxEdwcw/view?usp=drivesdk</t>
  </si>
  <si>
    <t>https://drive.google.com/uc?export=view&amp;id=1qexK0cGykI3GmUPIpnkvcKqV4hxEdwcw</t>
  </si>
  <si>
    <t>Asustado.jpg</t>
  </si>
  <si>
    <t>Asustado</t>
  </si>
  <si>
    <t>1Za5odkQiLxBviMSpIoOKAlgGLO0ikYd8</t>
  </si>
  <si>
    <t>https://drive.google.com/file/d/1Za5odkQiLxBviMSpIoOKAlgGLO0ikYd8/view?usp=drivesdk</t>
  </si>
  <si>
    <t>https://drive.google.com/uc?export=view&amp;id=1Za5odkQiLxBviMSpIoOKAlgGLO0ikYd8</t>
  </si>
  <si>
    <t>Atacante de vanguardia.png</t>
  </si>
  <si>
    <t>Atacante de vanguardia</t>
  </si>
  <si>
    <t>1JqEySoO5qEWJ18jVi2ibWIfK7GbGpD74</t>
  </si>
  <si>
    <t>https://drive.google.com/file/d/1JqEySoO5qEWJ18jVi2ibWIfK7GbGpD74/view?usp=drivesdk</t>
  </si>
  <si>
    <t>https://drive.google.com/uc?export=view&amp;id=1JqEySoO5qEWJ18jVi2ibWIfK7GbGpD74</t>
  </si>
  <si>
    <t>Atacante de vanguardia_bw.png</t>
  </si>
  <si>
    <t>Atacante de vanguardia bw</t>
  </si>
  <si>
    <t>1KlAFQ-T-1RpNvLa-RZd83K-FoP3c0jgA</t>
  </si>
  <si>
    <t>https://drive.google.com/file/d/1KlAFQ-T-1RpNvLa-RZd83K-FoP3c0jgA/view?usp=drivesdk</t>
  </si>
  <si>
    <t>https://drive.google.com/uc?export=view&amp;id=1KlAFQ-T-1RpNvLa-RZd83K-FoP3c0jgA</t>
  </si>
  <si>
    <t>Ataque a los puntos energéticos.png</t>
  </si>
  <si>
    <t>Ataque a los puntos energéticos</t>
  </si>
  <si>
    <t>13sxiXXf5eij7wF2AsNkelk36MrCrw6Uz</t>
  </si>
  <si>
    <t>https://drive.google.com/file/d/13sxiXXf5eij7wF2AsNkelk36MrCrw6Uz/view?usp=drivesdk</t>
  </si>
  <si>
    <t>https://drive.google.com/uc?export=view&amp;id=13sxiXXf5eij7wF2AsNkelk36MrCrw6Uz</t>
  </si>
  <si>
    <t>Ataque a los puntos energéticos_bw.png</t>
  </si>
  <si>
    <t>Ataque a los puntos energéticos bw</t>
  </si>
  <si>
    <t>1-5DKMfHr-CgWPiHoUTLfNf_KaHHgOdkt</t>
  </si>
  <si>
    <t>https://drive.google.com/file/d/1-5DKMfHr-CgWPiHoUTLfNf_KaHHgOdkt/view?usp=drivesdk</t>
  </si>
  <si>
    <t>https://drive.google.com/uc?export=view&amp;id=1-5DKMfHr-CgWPiHoUTLfNf_KaHHgOdkt</t>
  </si>
  <si>
    <t>Ataque adicional (Barbaro).png</t>
  </si>
  <si>
    <t>Ataque adicional (Barbaro)</t>
  </si>
  <si>
    <t>15VjV26vUm3oPnEp3jDa1CJ3I54173NuR</t>
  </si>
  <si>
    <t>https://drive.google.com/file/d/15VjV26vUm3oPnEp3jDa1CJ3I54173NuR/view?usp=drivesdk</t>
  </si>
  <si>
    <t>https://drive.google.com/uc?export=view&amp;id=15VjV26vUm3oPnEp3jDa1CJ3I54173NuR</t>
  </si>
  <si>
    <t>Ataque adicional (Explorador).png</t>
  </si>
  <si>
    <t>Ataque adicional (Explorador)</t>
  </si>
  <si>
    <t>1VdNLnqQX2Yt0E7hrLKj0GRv3SM5gQIOM</t>
  </si>
  <si>
    <t>https://drive.google.com/file/d/1VdNLnqQX2Yt0E7hrLKj0GRv3SM5gQIOM/view?usp=drivesdk</t>
  </si>
  <si>
    <t>https://drive.google.com/uc?export=view&amp;id=1VdNLnqQX2Yt0E7hrLKj0GRv3SM5gQIOM</t>
  </si>
  <si>
    <t>Ataque adicional (Forajido).png</t>
  </si>
  <si>
    <t>Ataque adicional (Forajido)</t>
  </si>
  <si>
    <t>1et0avRcP668sbWtI7Jaoj045xjJLHun5</t>
  </si>
  <si>
    <t>https://drive.google.com/file/d/1et0avRcP668sbWtI7Jaoj045xjJLHun5/view?usp=drivesdk</t>
  </si>
  <si>
    <t>https://drive.google.com/uc?export=view&amp;id=1et0avRcP668sbWtI7Jaoj045xjJLHun5</t>
  </si>
  <si>
    <t>Ataque adicional (Guerrero).png</t>
  </si>
  <si>
    <t>Ataque adicional (Guerrero)</t>
  </si>
  <si>
    <t>1hpbppopzEPF9cQvdrsCqVFNqLZDnFAuN</t>
  </si>
  <si>
    <t>https://drive.google.com/file/d/1hpbppopzEPF9cQvdrsCqVFNqLZDnFAuN/view?usp=drivesdk</t>
  </si>
  <si>
    <t>https://drive.google.com/uc?export=view&amp;id=1hpbppopzEPF9cQvdrsCqVFNqLZDnFAuN</t>
  </si>
  <si>
    <t>Ataque adicional (Luchador).png</t>
  </si>
  <si>
    <t>Ataque adicional (Luchador)</t>
  </si>
  <si>
    <t>13DiEI7ZQRCkbb_dPXl9OQxL6kdL9xeu_</t>
  </si>
  <si>
    <t>https://drive.google.com/file/d/13DiEI7ZQRCkbb_dPXl9OQxL6kdL9xeu_/view?usp=drivesdk</t>
  </si>
  <si>
    <t>https://drive.google.com/uc?export=view&amp;id=13DiEI7ZQRCkbb_dPXl9OQxL6kdL9xeu_</t>
  </si>
  <si>
    <t>Ataque adicional (Paladin).png</t>
  </si>
  <si>
    <t>Ataque adicional (Paladin)</t>
  </si>
  <si>
    <t>1efIV6LF-nLyKBtuLpG2aQD_CenH20xVF</t>
  </si>
  <si>
    <t>https://drive.google.com/file/d/1efIV6LF-nLyKBtuLpG2aQD_CenH20xVF/view?usp=drivesdk</t>
  </si>
  <si>
    <t>https://drive.google.com/uc?export=view&amp;id=1efIV6LF-nLyKBtuLpG2aQD_CenH20xVF</t>
  </si>
  <si>
    <t>Ataque Circular.png</t>
  </si>
  <si>
    <t>Ataque Circular</t>
  </si>
  <si>
    <t>1wZbCnvPBMIcf3vZPcnJYCKqskwjGi4d2</t>
  </si>
  <si>
    <t>https://drive.google.com/file/d/1wZbCnvPBMIcf3vZPcnJYCKqskwjGi4d2/view?usp=drivesdk</t>
  </si>
  <si>
    <t>https://drive.google.com/uc?export=view&amp;id=1wZbCnvPBMIcf3vZPcnJYCKqskwjGi4d2</t>
  </si>
  <si>
    <t>Ataque de Sombras.png</t>
  </si>
  <si>
    <t>Ataque de Sombras</t>
  </si>
  <si>
    <t>19nOfGDuFmDK9Xwq8xShreFUyvOnzZIki</t>
  </si>
  <si>
    <t>https://drive.google.com/file/d/19nOfGDuFmDK9Xwq8xShreFUyvOnzZIki/view?usp=drivesdk</t>
  </si>
  <si>
    <t>https://drive.google.com/uc?export=view&amp;id=19nOfGDuFmDK9Xwq8xShreFUyvOnzZIki</t>
  </si>
  <si>
    <t>Ataque devastador.png</t>
  </si>
  <si>
    <t>Ataque devastador</t>
  </si>
  <si>
    <t>1u8eeOgAzxOAq_TiIKOxS3ycqB4mIpSyH</t>
  </si>
  <si>
    <t>https://drive.google.com/file/d/1u8eeOgAzxOAq_TiIKOxS3ycqB4mIpSyH/view?usp=drivesdk</t>
  </si>
  <si>
    <t>https://drive.google.com/uc?export=view&amp;id=1u8eeOgAzxOAq_TiIKOxS3ycqB4mIpSyH</t>
  </si>
  <si>
    <t>Ataque devastador_bw.png</t>
  </si>
  <si>
    <t>Ataque devastador bw</t>
  </si>
  <si>
    <t>1jQx50PaFRFZcitsm87LjbzGMSyC0-uPC</t>
  </si>
  <si>
    <t>https://drive.google.com/file/d/1jQx50PaFRFZcitsm87LjbzGMSyC0-uPC/view?usp=drivesdk</t>
  </si>
  <si>
    <t>https://drive.google.com/uc?export=view&amp;id=1jQx50PaFRFZcitsm87LjbzGMSyC0-uPC</t>
  </si>
  <si>
    <t>Ataque furtivo.png</t>
  </si>
  <si>
    <t>Ataque furtivo</t>
  </si>
  <si>
    <t>1Esx0FXr0ulpGFH3FMwn1Q6e6JgMq0WLD</t>
  </si>
  <si>
    <t>https://drive.google.com/file/d/1Esx0FXr0ulpGFH3FMwn1Q6e6JgMq0WLD/view?usp=drivesdk</t>
  </si>
  <si>
    <t>https://drive.google.com/uc?export=view&amp;id=1Esx0FXr0ulpGFH3FMwn1Q6e6JgMq0WLD</t>
  </si>
  <si>
    <t>Ataque Mortal.png</t>
  </si>
  <si>
    <t>Ataque Mortal</t>
  </si>
  <si>
    <t>1qI8ZZYKrixaVPk63HhEJhq3hIdaPkDcN</t>
  </si>
  <si>
    <t>https://drive.google.com/file/d/1qI8ZZYKrixaVPk63HhEJhq3hIdaPkDcN/view?usp=drivesdk</t>
  </si>
  <si>
    <t>https://drive.google.com/uc?export=view&amp;id=1qI8ZZYKrixaVPk63HhEJhq3hIdaPkDcN</t>
  </si>
  <si>
    <t>Ataque Múltiple.png</t>
  </si>
  <si>
    <t>Ataque Múltiple</t>
  </si>
  <si>
    <t>10YkEA0AMW-vXYWHBTdRZrONAiZ6BdShY</t>
  </si>
  <si>
    <t>https://drive.google.com/file/d/10YkEA0AMW-vXYWHBTdRZrONAiZ6BdShY/view?usp=drivesdk</t>
  </si>
  <si>
    <t>https://drive.google.com/uc?export=view&amp;id=10YkEA0AMW-vXYWHBTdRZrONAiZ6BdShY</t>
  </si>
  <si>
    <t>Ataque Perforante.png</t>
  </si>
  <si>
    <t>Ataque Perforante</t>
  </si>
  <si>
    <t>1B0fHhisiOFjEHImfKwATyLylo7HDmroM</t>
  </si>
  <si>
    <t>https://drive.google.com/file/d/1B0fHhisiOFjEHImfKwATyLylo7HDmroM/view?usp=drivesdk</t>
  </si>
  <si>
    <t>https://drive.google.com/uc?export=view&amp;id=1B0fHhisiOFjEHImfKwATyLylo7HDmroM</t>
  </si>
  <si>
    <t>Ataques salvajes.png</t>
  </si>
  <si>
    <t>Ataques salvajes</t>
  </si>
  <si>
    <t>1eQPLRdNbeEyskYfewaGvyQyADp_IW57c</t>
  </si>
  <si>
    <t>https://drive.google.com/file/d/1eQPLRdNbeEyskYfewaGvyQyADp_IW57c/view?usp=drivesdk</t>
  </si>
  <si>
    <t>https://drive.google.com/uc?export=view&amp;id=1eQPLRdNbeEyskYfewaGvyQyADp_IW57c</t>
  </si>
  <si>
    <t>Atrapar.png</t>
  </si>
  <si>
    <t>Atrapar</t>
  </si>
  <si>
    <t>1GgRxYqiueAAC6zQI8Nn2WLtLlEvZn69C</t>
  </si>
  <si>
    <t>https://drive.google.com/file/d/1GgRxYqiueAAC6zQI8Nn2WLtLlEvZn69C/view?usp=drivesdk</t>
  </si>
  <si>
    <t>https://drive.google.com/uc?export=view&amp;id=1GgRxYqiueAAC6zQI8Nn2WLtLlEvZn69C</t>
  </si>
  <si>
    <t>Aturdido.jpg</t>
  </si>
  <si>
    <t>Aturdido</t>
  </si>
  <si>
    <t>1EiVAkMAIXQI2IQTLNItA1dcYF35zt2bq</t>
  </si>
  <si>
    <t>https://drive.google.com/file/d/1EiVAkMAIXQI2IQTLNItA1dcYF35zt2bq/view?usp=drivesdk</t>
  </si>
  <si>
    <t>https://drive.google.com/uc?export=view&amp;id=1EiVAkMAIXQI2IQTLNItA1dcYF35zt2bq</t>
  </si>
  <si>
    <t>Aturdir.png</t>
  </si>
  <si>
    <t>Aturdir</t>
  </si>
  <si>
    <t>146RhHNvaAGlebMp-dr7VpnIvFNIS3Hv7</t>
  </si>
  <si>
    <t>https://drive.google.com/file/d/146RhHNvaAGlebMp-dr7VpnIvFNIS3Hv7/view?usp=drivesdk</t>
  </si>
  <si>
    <t>https://drive.google.com/uc?export=view&amp;id=146RhHNvaAGlebMp-dr7VpnIvFNIS3Hv7</t>
  </si>
  <si>
    <t>Aura de protección.png</t>
  </si>
  <si>
    <t>Aura de protección</t>
  </si>
  <si>
    <t>1vvInCtw174TbSwqXWMGGWgM-tpheRIhI</t>
  </si>
  <si>
    <t>https://drive.google.com/file/d/1vvInCtw174TbSwqXWMGGWgM-tpheRIhI/view?usp=drivesdk</t>
  </si>
  <si>
    <t>https://drive.google.com/uc?export=view&amp;id=1vvInCtw174TbSwqXWMGGWgM-tpheRIhI</t>
  </si>
  <si>
    <t>Aura de valor.png</t>
  </si>
  <si>
    <t>Aura de valor</t>
  </si>
  <si>
    <t>1Q5lHbNp5VvtjlL_CJSko4kU5VQd6BQyk</t>
  </si>
  <si>
    <t>https://drive.google.com/file/d/1Q5lHbNp5VvtjlL_CJSko4kU5VQd6BQyk/view?usp=drivesdk</t>
  </si>
  <si>
    <t>https://drive.google.com/uc?export=view&amp;id=1Q5lHbNp5VvtjlL_CJSko4kU5VQd6BQyk</t>
  </si>
  <si>
    <t>Autómata Arcano.png</t>
  </si>
  <si>
    <t>Autómata Arcano</t>
  </si>
  <si>
    <t>1fCP7ed86NksYW89Aaod3xP8Mqm6x-YEQ</t>
  </si>
  <si>
    <t>https://drive.google.com/file/d/1fCP7ed86NksYW89Aaod3xP8Mqm6x-YEQ/view?usp=drivesdk</t>
  </si>
  <si>
    <t>https://drive.google.com/uc?export=view&amp;id=1fCP7ed86NksYW89Aaod3xP8Mqm6x-YEQ</t>
  </si>
  <si>
    <t>Auxilio.png</t>
  </si>
  <si>
    <t>Auxilio</t>
  </si>
  <si>
    <t>1-PHcn-4lDltgluFooCHcEKIHODRrNz-n</t>
  </si>
  <si>
    <t>https://drive.google.com/file/d/1-PHcn-4lDltgluFooCHcEKIHODRrNz-n/view?usp=drivesdk</t>
  </si>
  <si>
    <t>https://drive.google.com/uc?export=view&amp;id=1-PHcn-4lDltgluFooCHcEKIHODRrNz-n</t>
  </si>
  <si>
    <t>Auxilio_bw.png</t>
  </si>
  <si>
    <t>Auxilio bw</t>
  </si>
  <si>
    <t>1BupralgPAsodhy9BIo2L19HbQn44gy_6</t>
  </si>
  <si>
    <t>https://drive.google.com/file/d/1BupralgPAsodhy9BIo2L19HbQn44gy_6/view?usp=drivesdk</t>
  </si>
  <si>
    <t>https://drive.google.com/uc?export=view&amp;id=1BupralgPAsodhy9BIo2L19HbQn44gy_6</t>
  </si>
  <si>
    <t>Avena.png</t>
  </si>
  <si>
    <t>Avena</t>
  </si>
  <si>
    <t>1Xvh-dkemVtMwEypjPjGAk04B3ECuV66-</t>
  </si>
  <si>
    <t>https://drive.google.com/file/d/1Xvh-dkemVtMwEypjPjGAk04B3ECuV66-/view?usp=drivesdk</t>
  </si>
  <si>
    <t>https://drive.google.com/uc?export=view&amp;id=1Xvh-dkemVtMwEypjPjGAk04B3ECuV66-</t>
  </si>
  <si>
    <t>Avivar las Llamas.png</t>
  </si>
  <si>
    <t>Avivar las Llamas</t>
  </si>
  <si>
    <t>1MkxHzttBSogPmhWwZ2gsY8xuqOOhLPcT</t>
  </si>
  <si>
    <t>https://drive.google.com/file/d/1MkxHzttBSogPmhWwZ2gsY8xuqOOhLPcT/view?usp=drivesdk</t>
  </si>
  <si>
    <t>https://drive.google.com/uc?export=view&amp;id=1MkxHzttBSogPmhWwZ2gsY8xuqOOhLPcT</t>
  </si>
  <si>
    <t>Azúcar.png</t>
  </si>
  <si>
    <t>Azúcar</t>
  </si>
  <si>
    <t>1jkk_i4rJpKfgLzrEJO-HAP-QfWAut0ku</t>
  </si>
  <si>
    <t>https://drive.google.com/file/d/1jkk_i4rJpKfgLzrEJO-HAP-QfWAut0ku/view?usp=drivesdk</t>
  </si>
  <si>
    <t>https://drive.google.com/uc?export=view&amp;id=1jkk_i4rJpKfgLzrEJO-HAP-QfWAut0ku</t>
  </si>
  <si>
    <t>Ballesta de mano.png</t>
  </si>
  <si>
    <t>Ballesta de mano</t>
  </si>
  <si>
    <t>15lXCZaO2TINut0YDnH64kJntX4F2EONQ</t>
  </si>
  <si>
    <t>https://drive.google.com/file/d/15lXCZaO2TINut0YDnH64kJntX4F2EONQ/view?usp=drivesdk</t>
  </si>
  <si>
    <t>https://drive.google.com/uc?export=view&amp;id=15lXCZaO2TINut0YDnH64kJntX4F2EONQ</t>
  </si>
  <si>
    <t>Ballesta Ligera.jpg</t>
  </si>
  <si>
    <t>Ballesta Ligera</t>
  </si>
  <si>
    <t>1Veef8PnSzQIR0KNaC4beceC5Boyp3p6g</t>
  </si>
  <si>
    <t>https://drive.google.com/file/d/1Veef8PnSzQIR0KNaC4beceC5Boyp3p6g/view?usp=drivesdk</t>
  </si>
  <si>
    <t>https://drive.google.com/uc?export=view&amp;id=1Veef8PnSzQIR0KNaC4beceC5Boyp3p6g</t>
  </si>
  <si>
    <t>Ballesta Pesada.png</t>
  </si>
  <si>
    <t>Ballesta Pesada</t>
  </si>
  <si>
    <t>1b3ChMGdweCjNv4DgR8j-dnD_Kf94RoHL</t>
  </si>
  <si>
    <t>https://drive.google.com/file/d/1b3ChMGdweCjNv4DgR8j-dnD_Kf94RoHL/view?usp=drivesdk</t>
  </si>
  <si>
    <t>https://drive.google.com/uc?export=view&amp;id=1b3ChMGdweCjNv4DgR8j-dnD_Kf94RoHL</t>
  </si>
  <si>
    <t>Ballestero de Bernisse.png</t>
  </si>
  <si>
    <t>Ballestero de Bernisse</t>
  </si>
  <si>
    <t>1t8XIC7-wsQvN-T3hLYVreYESpY1wtwKc</t>
  </si>
  <si>
    <t>https://drive.google.com/file/d/1t8XIC7-wsQvN-T3hLYVreYESpY1wtwKc/view?usp=drivesdk</t>
  </si>
  <si>
    <t>https://drive.google.com/uc?export=view&amp;id=1t8XIC7-wsQvN-T3hLYVreYESpY1wtwKc</t>
  </si>
  <si>
    <t>Bernisse</t>
  </si>
  <si>
    <t>1f61U6M_xy12bMGdfLULwy1iSZOBSZ4Lr</t>
  </si>
  <si>
    <t>Ballestero Saxnarita.png</t>
  </si>
  <si>
    <t>Ballestero Saxnarita</t>
  </si>
  <si>
    <t>1vhd0LWkPfuMk0yI3-AlG2HhPNVLqLL5b</t>
  </si>
  <si>
    <t>https://drive.google.com/file/d/1vhd0LWkPfuMk0yI3-AlG2HhPNVLqLL5b/view?usp=drivesdk</t>
  </si>
  <si>
    <t>https://drive.google.com/uc?export=view&amp;id=1vhd0LWkPfuMk0yI3-AlG2HhPNVLqLL5b</t>
  </si>
  <si>
    <t>Bandera de Gnossha.png</t>
  </si>
  <si>
    <t>Bandera de Gnossha</t>
  </si>
  <si>
    <t>1EmqIUATOuZLmGl5QRl9OcCyUpSlTfA6x</t>
  </si>
  <si>
    <t>https://drive.google.com/file/d/1EmqIUATOuZLmGl5QRl9OcCyUpSlTfA6x/view?usp=drivesdk</t>
  </si>
  <si>
    <t>https://drive.google.com/uc?export=view&amp;id=1EmqIUATOuZLmGl5QRl9OcCyUpSlTfA6x</t>
  </si>
  <si>
    <t>Bandera de Saxnaria.png</t>
  </si>
  <si>
    <t>Bandera de Saxnaria</t>
  </si>
  <si>
    <t>1aX1eYFK91h82spruRsulhTRIWQBy445X</t>
  </si>
  <si>
    <t>https://drive.google.com/file/d/1aX1eYFK91h82spruRsulhTRIWQBy445X/view?usp=drivesdk</t>
  </si>
  <si>
    <t>https://drive.google.com/uc?export=view&amp;id=1aX1eYFK91h82spruRsulhTRIWQBy445X</t>
  </si>
  <si>
    <t>Basnana.png</t>
  </si>
  <si>
    <t>Basnana</t>
  </si>
  <si>
    <t>13fLmKOxV2FWMmhlM2WWTIS3tly-wMsKN</t>
  </si>
  <si>
    <t>https://drive.google.com/file/d/13fLmKOxV2FWMmhlM2WWTIS3tly-wMsKN/view?usp=drivesdk</t>
  </si>
  <si>
    <t>https://drive.google.com/uc?export=view&amp;id=13fLmKOxV2FWMmhlM2WWTIS3tly-wMsKN</t>
  </si>
  <si>
    <t>Bastón de Combate.jpg</t>
  </si>
  <si>
    <t>Bastón de Combate</t>
  </si>
  <si>
    <t>1C4tZeYI77w_kgUazTOJgSph_xcZdkXcf</t>
  </si>
  <si>
    <t>https://drive.google.com/file/d/1C4tZeYI77w_kgUazTOJgSph_xcZdkXcf/view?usp=drivesdk</t>
  </si>
  <si>
    <t>https://drive.google.com/uc?export=view&amp;id=1C4tZeYI77w_kgUazTOJgSph_xcZdkXcf</t>
  </si>
  <si>
    <t>Bastón de doble hoja.jpg</t>
  </si>
  <si>
    <t>Bastón de doble hoja</t>
  </si>
  <si>
    <t>1FyRYOLeS71zj0l8mJ2aKm4gcyEakowjk</t>
  </si>
  <si>
    <t>https://drive.google.com/file/d/1FyRYOLeS71zj0l8mJ2aKm4gcyEakowjk/view?usp=drivesdk</t>
  </si>
  <si>
    <t>https://drive.google.com/uc?export=view&amp;id=1FyRYOLeS71zj0l8mJ2aKm4gcyEakowjk</t>
  </si>
  <si>
    <t>Bastón de hechicero.png</t>
  </si>
  <si>
    <t>Bastón de hechicero</t>
  </si>
  <si>
    <t>1QS94KBhIsOclaZ4B_Lq6_6dmLR8SiQ-l</t>
  </si>
  <si>
    <t>https://drive.google.com/file/d/1QS94KBhIsOclaZ4B_Lq6_6dmLR8SiQ-l/view?usp=drivesdk</t>
  </si>
  <si>
    <t>https://drive.google.com/uc?export=view&amp;id=1QS94KBhIsOclaZ4B_Lq6_6dmLR8SiQ-l</t>
  </si>
  <si>
    <t>Batata.png</t>
  </si>
  <si>
    <t>Batata</t>
  </si>
  <si>
    <t>1UCu9rpY92InakN8DLkO3ePoluhLhM82X</t>
  </si>
  <si>
    <t>https://drive.google.com/file/d/1UCu9rpY92InakN8DLkO3ePoluhLhM82X/view?usp=drivesdk</t>
  </si>
  <si>
    <t>https://drive.google.com/uc?export=view&amp;id=1UCu9rpY92InakN8DLkO3ePoluhLhM82X</t>
  </si>
  <si>
    <t>Belladona.png</t>
  </si>
  <si>
    <t>Belladona</t>
  </si>
  <si>
    <t>1XdZAXI6HUEGxINoDpMN_zBTs8LW5PzpR</t>
  </si>
  <si>
    <t>https://drive.google.com/file/d/1XdZAXI6HUEGxINoDpMN_zBTs8LW5PzpR/view?usp=drivesdk</t>
  </si>
  <si>
    <t>https://drive.google.com/uc?export=view&amp;id=1XdZAXI6HUEGxINoDpMN_zBTs8LW5PzpR</t>
  </si>
  <si>
    <t>Bellatrix Arissae.png</t>
  </si>
  <si>
    <t>Bellatrix Arissae</t>
  </si>
  <si>
    <t>15vHRUMGa9TWyXRbHoCy1QWtN9zq12iiS</t>
  </si>
  <si>
    <t>https://drive.google.com/file/d/15vHRUMGa9TWyXRbHoCy1QWtN9zq12iiS/view?usp=drivesdk</t>
  </si>
  <si>
    <t>https://drive.google.com/uc?export=view&amp;id=15vHRUMGa9TWyXRbHoCy1QWtN9zq12iiS</t>
  </si>
  <si>
    <t>Bestia antropomórfica.png</t>
  </si>
  <si>
    <t>Bestia antropomórfica</t>
  </si>
  <si>
    <t>1nELz9zrKD-VONm47HMDNILB5SXFY6nZi</t>
  </si>
  <si>
    <t>https://drive.google.com/file/d/1nELz9zrKD-VONm47HMDNILB5SXFY6nZi/view?usp=drivesdk</t>
  </si>
  <si>
    <t>https://drive.google.com/uc?export=view&amp;id=1nELz9zrKD-VONm47HMDNILB5SXFY6nZi</t>
  </si>
  <si>
    <t>Biología resiliente.png</t>
  </si>
  <si>
    <t>Biología resiliente</t>
  </si>
  <si>
    <t>1UDvMFjdlRarh_F0-aUxsvVETFMGyp258</t>
  </si>
  <si>
    <t>https://drive.google.com/file/d/1UDvMFjdlRarh_F0-aUxsvVETFMGyp258/view?usp=drivesdk</t>
  </si>
  <si>
    <t>https://drive.google.com/uc?export=view&amp;id=1UDvMFjdlRarh_F0-aUxsvVETFMGyp258</t>
  </si>
  <si>
    <t>Biología resiliente_bw.png</t>
  </si>
  <si>
    <t>Biología resiliente bw</t>
  </si>
  <si>
    <t>1SiKhsn_96liQCf-2N6Idy_bE2XZvvNaw</t>
  </si>
  <si>
    <t>https://drive.google.com/file/d/1SiKhsn_96liQCf-2N6Idy_bE2XZvvNaw/view?usp=drivesdk</t>
  </si>
  <si>
    <t>https://drive.google.com/uc?export=view&amp;id=1SiKhsn_96liQCf-2N6Idy_bE2XZvvNaw</t>
  </si>
  <si>
    <t>Bola de fuego.png</t>
  </si>
  <si>
    <t>Bola de fuego</t>
  </si>
  <si>
    <t>1xJQ6033rXOaJ45kd8g6jHiSR1K3KaOSu</t>
  </si>
  <si>
    <t>https://drive.google.com/file/d/1xJQ6033rXOaJ45kd8g6jHiSR1K3KaOSu/view?usp=drivesdk</t>
  </si>
  <si>
    <t>https://drive.google.com/uc?export=view&amp;id=1xJQ6033rXOaJ45kd8g6jHiSR1K3KaOSu</t>
  </si>
  <si>
    <t>Bola de fuego_bw.png</t>
  </si>
  <si>
    <t>Bola de fuego bw</t>
  </si>
  <si>
    <t>1EaaDxwcgde2GwbuL38w2pjLkNS7OT8W4</t>
  </si>
  <si>
    <t>https://drive.google.com/file/d/1EaaDxwcgde2GwbuL38w2pjLkNS7OT8W4/view?usp=drivesdk</t>
  </si>
  <si>
    <t>https://drive.google.com/uc?export=view&amp;id=1EaaDxwcgde2GwbuL38w2pjLkNS7OT8W4</t>
  </si>
  <si>
    <t>Bomba de Humo.png</t>
  </si>
  <si>
    <t>Bomba de Humo</t>
  </si>
  <si>
    <t>10a5e7MHMqcT-EO7Xmrf4-SITmrn8r92f</t>
  </si>
  <si>
    <t>https://drive.google.com/file/d/10a5e7MHMqcT-EO7Xmrf4-SITmrn8r92f/view?usp=drivesdk</t>
  </si>
  <si>
    <t>https://drive.google.com/uc?export=view&amp;id=10a5e7MHMqcT-EO7Xmrf4-SITmrn8r92f</t>
  </si>
  <si>
    <t>Botas de cuero.png</t>
  </si>
  <si>
    <t>Botas de cuero</t>
  </si>
  <si>
    <t>1IbWbTCTHb5lVLFTRSBxrYFqFTJCL4gAc</t>
  </si>
  <si>
    <t>https://drive.google.com/file/d/1IbWbTCTHb5lVLFTRSBxrYFqFTJCL4gAc/view?usp=drivesdk</t>
  </si>
  <si>
    <t>https://drive.google.com/uc?export=view&amp;id=1IbWbTCTHb5lVLFTRSBxrYFqFTJCL4gAc</t>
  </si>
  <si>
    <t>Botas de cuero con placas.png</t>
  </si>
  <si>
    <t>Botas de cuero con placas</t>
  </si>
  <si>
    <t>1BQfTLkzNvW50QfGJZfWogZWLBO5tVsEZ</t>
  </si>
  <si>
    <t>https://drive.google.com/file/d/1BQfTLkzNvW50QfGJZfWogZWLBO5tVsEZ/view?usp=drivesdk</t>
  </si>
  <si>
    <t>https://drive.google.com/uc?export=view&amp;id=1BQfTLkzNvW50QfGJZfWogZWLBO5tVsEZ</t>
  </si>
  <si>
    <t>Botas de cuero tachonado.jpg</t>
  </si>
  <si>
    <t>Botas de cuero tachonado</t>
  </si>
  <si>
    <t>16R6VtDa0489ZFW4xCmRZxzfPofw8efzt</t>
  </si>
  <si>
    <t>https://drive.google.com/file/d/16R6VtDa0489ZFW4xCmRZxzfPofw8efzt/view?usp=drivesdk</t>
  </si>
  <si>
    <t>https://drive.google.com/uc?export=view&amp;id=16R6VtDa0489ZFW4xCmRZxzfPofw8efzt</t>
  </si>
  <si>
    <t>Botas de piel.jpg</t>
  </si>
  <si>
    <t>Botas de piel</t>
  </si>
  <si>
    <t>1c2TJJmODomHeJZYXOhdNhw-qOYMhMC6b</t>
  </si>
  <si>
    <t>https://drive.google.com/file/d/1c2TJJmODomHeJZYXOhdNhw-qOYMhMC6b/view?usp=drivesdk</t>
  </si>
  <si>
    <t>https://drive.google.com/uc?export=view&amp;id=1c2TJJmODomHeJZYXOhdNhw-qOYMhMC6b</t>
  </si>
  <si>
    <t>Botella de aceite.png</t>
  </si>
  <si>
    <t>Botella de aceite</t>
  </si>
  <si>
    <t>1BvgWrE_tlABvoExma70eRomcIrKo-nko</t>
  </si>
  <si>
    <t>https://drive.google.com/file/d/1BvgWrE_tlABvoExma70eRomcIrKo-nko/view?usp=drivesdk</t>
  </si>
  <si>
    <t>https://drive.google.com/uc?export=view&amp;id=1BvgWrE_tlABvoExma70eRomcIrKo-nko</t>
  </si>
  <si>
    <t>Botella vacía.png</t>
  </si>
  <si>
    <t>Botella vacía</t>
  </si>
  <si>
    <t>1dtKzypQ89k-Z4yhboLAixisbfFFHEAZd</t>
  </si>
  <si>
    <t>https://drive.google.com/file/d/1dtKzypQ89k-Z4yhboLAixisbfFFHEAZd/view?usp=drivesdk</t>
  </si>
  <si>
    <t>https://drive.google.com/uc?export=view&amp;id=1dtKzypQ89k-Z4yhboLAixisbfFFHEAZd</t>
  </si>
  <si>
    <t>Brazaletes.png</t>
  </si>
  <si>
    <t>Brazaletes</t>
  </si>
  <si>
    <t>1Tp1hN6ZNvW-NhhGsx7eyjSiLXfMoUnTE</t>
  </si>
  <si>
    <t>https://drive.google.com/file/d/1Tp1hN6ZNvW-NhhGsx7eyjSiLXfMoUnTE/view?usp=drivesdk</t>
  </si>
  <si>
    <t>https://drive.google.com/uc?export=view&amp;id=1Tp1hN6ZNvW-NhhGsx7eyjSiLXfMoUnTE</t>
  </si>
  <si>
    <t>Brazo fuerte.png</t>
  </si>
  <si>
    <t>Brazo fuerte</t>
  </si>
  <si>
    <t>1-X16HcVgrP1l1mAKpF-_ntLUVk5nLL6t</t>
  </si>
  <si>
    <t>https://drive.google.com/file/d/1-X16HcVgrP1l1mAKpF-_ntLUVk5nLL6t/view?usp=drivesdk</t>
  </si>
  <si>
    <t>https://drive.google.com/uc?export=view&amp;id=1-X16HcVgrP1l1mAKpF-_ntLUVk5nLL6t</t>
  </si>
  <si>
    <t>Brazo fuerte_bw.png</t>
  </si>
  <si>
    <t>Brazo fuerte bw</t>
  </si>
  <si>
    <t>1Ok7Ljf_G2U8Uk13qutHOOSc2EffSH1Bw</t>
  </si>
  <si>
    <t>https://drive.google.com/file/d/1Ok7Ljf_G2U8Uk13qutHOOSc2EffSH1Bw/view?usp=drivesdk</t>
  </si>
  <si>
    <t>https://drive.google.com/uc?export=view&amp;id=1Ok7Ljf_G2U8Uk13qutHOOSc2EffSH1Bw</t>
  </si>
  <si>
    <t>Brazos Generico.png</t>
  </si>
  <si>
    <t>Brazos Generico</t>
  </si>
  <si>
    <t>1uulCnDPgZbH05IYEZnwLymy_OBSqTjvq</t>
  </si>
  <si>
    <t>https://drive.google.com/file/d/1uulCnDPgZbH05IYEZnwLymy_OBSqTjvq/view?usp=drivesdk</t>
  </si>
  <si>
    <t>https://drive.google.com/uc?export=view&amp;id=1uulCnDPgZbH05IYEZnwLymy_OBSqTjvq</t>
  </si>
  <si>
    <t>Buho de Resistencia.png</t>
  </si>
  <si>
    <t>Buho de Resistencia</t>
  </si>
  <si>
    <t>12JZPJZ7v_uDvESnQxFpJ5W7nDOXg31KF</t>
  </si>
  <si>
    <t>https://drive.google.com/file/d/12JZPJZ7v_uDvESnQxFpJ5W7nDOXg31KF/view?usp=drivesdk</t>
  </si>
  <si>
    <t>https://drive.google.com/uc?export=view&amp;id=12JZPJZ7v_uDvESnQxFpJ5W7nDOXg31KF</t>
  </si>
  <si>
    <t>búho de resistencia 2.png</t>
  </si>
  <si>
    <t>Búho de resistencia 2</t>
  </si>
  <si>
    <t>1ETD_QCX-x-GOzcvNCWMEAwiL_5B-7QJB</t>
  </si>
  <si>
    <t>https://drive.google.com/file/d/1ETD_QCX-x-GOzcvNCWMEAwiL_5B-7QJB/view?usp=drivesdk</t>
  </si>
  <si>
    <t>https://drive.google.com/uc?export=view&amp;id=1ETD_QCX-x-GOzcvNCWMEAwiL_5B-7QJB</t>
  </si>
  <si>
    <t>Buho Resist.png</t>
  </si>
  <si>
    <t>Buho Resist</t>
  </si>
  <si>
    <t>1qBvjL0z1QZsV2UmRIb9wn5T8_A8qX3ji</t>
  </si>
  <si>
    <t>https://drive.google.com/file/d/1qBvjL0z1QZsV2UmRIb9wn5T8_A8qX3ji/view?usp=drivesdk</t>
  </si>
  <si>
    <t>https://drive.google.com/uc?export=view&amp;id=1qBvjL0z1QZsV2UmRIb9wn5T8_A8qX3ji</t>
  </si>
  <si>
    <t>Burro.png</t>
  </si>
  <si>
    <t>Burro</t>
  </si>
  <si>
    <t>1ENe1dqk71EfjZ-iKBhOqFmQNa47nrx8B</t>
  </si>
  <si>
    <t>https://drive.google.com/file/d/1ENe1dqk71EfjZ-iKBhOqFmQNa47nrx8B/view?usp=drivesdk</t>
  </si>
  <si>
    <t>https://drive.google.com/uc?export=view&amp;id=1ENe1dqk71EfjZ-iKBhOqFmQNa47nrx8B</t>
  </si>
  <si>
    <t>Monturas</t>
  </si>
  <si>
    <t>1Lfk78SLb8FTT0aO6GkaRI6mmKlTVIZ6x</t>
  </si>
  <si>
    <t>Caballero Elevado.png</t>
  </si>
  <si>
    <t>Caballero Elevado</t>
  </si>
  <si>
    <t>13SeZnokD3cUYWlu843cLJ_27ZaWQBmNj</t>
  </si>
  <si>
    <t>https://drive.google.com/file/d/13SeZnokD3cUYWlu843cLJ_27ZaWQBmNj/view?usp=drivesdk</t>
  </si>
  <si>
    <t>https://drive.google.com/uc?export=view&amp;id=13SeZnokD3cUYWlu843cLJ_27ZaWQBmNj</t>
  </si>
  <si>
    <t>Cabeza dura.png</t>
  </si>
  <si>
    <t>Cabeza dura</t>
  </si>
  <si>
    <t>1pmfiK4PTucLijbbEWoOD3MK1rl2ohNXJ</t>
  </si>
  <si>
    <t>https://drive.google.com/file/d/1pmfiK4PTucLijbbEWoOD3MK1rl2ohNXJ/view?usp=drivesdk</t>
  </si>
  <si>
    <t>https://drive.google.com/uc?export=view&amp;id=1pmfiK4PTucLijbbEWoOD3MK1rl2ohNXJ</t>
  </si>
  <si>
    <t>Cabeza Generico.png</t>
  </si>
  <si>
    <t>Cabeza Generico</t>
  </si>
  <si>
    <t>1eP-CnJ__YYYIxrkJGvh5M3UM6iFqyF8g</t>
  </si>
  <si>
    <t>https://drive.google.com/file/d/1eP-CnJ__YYYIxrkJGvh5M3UM6iFqyF8g/view?usp=drivesdk</t>
  </si>
  <si>
    <t>https://drive.google.com/uc?export=view&amp;id=1eP-CnJ__YYYIxrkJGvh5M3UM6iFqyF8g</t>
  </si>
  <si>
    <t>Cadena.png</t>
  </si>
  <si>
    <t>Cadena</t>
  </si>
  <si>
    <t>1M1p_vi6Zgz2Qbz_ISMUWdZRF_8NhQBJg</t>
  </si>
  <si>
    <t>https://drive.google.com/file/d/1M1p_vi6Zgz2Qbz_ISMUWdZRF_8NhQBJg/view?usp=drivesdk</t>
  </si>
  <si>
    <t>https://drive.google.com/uc?export=view&amp;id=1M1p_vi6Zgz2Qbz_ISMUWdZRF_8NhQBJg</t>
  </si>
  <si>
    <t>Items del Mundo</t>
  </si>
  <si>
    <t>1n6j0fo089KO3gv1OVLrV6J4rU5uy0WbV</t>
  </si>
  <si>
    <t>Cadena de muerte.png</t>
  </si>
  <si>
    <t>Cadena de muerte</t>
  </si>
  <si>
    <t>10Acdr4MQ5n7ubQfZgqiQZ3VGccFN_dsx</t>
  </si>
  <si>
    <t>https://drive.google.com/file/d/10Acdr4MQ5n7ubQfZgqiQZ3VGccFN_dsx/view?usp=drivesdk</t>
  </si>
  <si>
    <t>https://drive.google.com/uc?export=view&amp;id=10Acdr4MQ5n7ubQfZgqiQZ3VGccFN_dsx</t>
  </si>
  <si>
    <t>Cadena de muerte_bw.png</t>
  </si>
  <si>
    <t>Cadena de muerte bw</t>
  </si>
  <si>
    <t>1lnHDQV3BB2nYLA-NkCVmN-CsTgJEk3vr</t>
  </si>
  <si>
    <t>https://drive.google.com/file/d/1lnHDQV3BB2nYLA-NkCVmN-CsTgJEk3vr/view?usp=drivesdk</t>
  </si>
  <si>
    <t>https://drive.google.com/uc?export=view&amp;id=1lnHDQV3BB2nYLA-NkCVmN-CsTgJEk3vr</t>
  </si>
  <si>
    <t>Caída lenta.png</t>
  </si>
  <si>
    <t>Caída lenta</t>
  </si>
  <si>
    <t>1BVyBkyI2bDCbj2XL8t2BJ6BQGM-0Nc3y</t>
  </si>
  <si>
    <t>https://drive.google.com/file/d/1BVyBkyI2bDCbj2XL8t2BJ6BQGM-0Nc3y/view?usp=drivesdk</t>
  </si>
  <si>
    <t>https://drive.google.com/uc?export=view&amp;id=1BVyBkyI2bDCbj2XL8t2BJ6BQGM-0Nc3y</t>
  </si>
  <si>
    <t>Camisote de malla.png</t>
  </si>
  <si>
    <t>Camisote de malla</t>
  </si>
  <si>
    <t>1CE8fqgYQ_0E9ryVyTUIbq57XOYspLdTJ</t>
  </si>
  <si>
    <t>https://drive.google.com/file/d/1CE8fqgYQ_0E9ryVyTUIbq57XOYspLdTJ/view?usp=drivesdk</t>
  </si>
  <si>
    <t>https://drive.google.com/uc?export=view&amp;id=1CE8fqgYQ_0E9ryVyTUIbq57XOYspLdTJ</t>
  </si>
  <si>
    <t>Campeón implacable.png</t>
  </si>
  <si>
    <t>Campeón implacable</t>
  </si>
  <si>
    <t>1N_S1Lq3wljjSyh1dTEbVmLh8Ec428OZZ</t>
  </si>
  <si>
    <t>https://drive.google.com/file/d/1N_S1Lq3wljjSyh1dTEbVmLh8Ec428OZZ/view?usp=drivesdk</t>
  </si>
  <si>
    <t>https://drive.google.com/uc?export=view&amp;id=1N_S1Lq3wljjSyh1dTEbVmLh8Ec428OZZ</t>
  </si>
  <si>
    <t>Camuflaje.png</t>
  </si>
  <si>
    <t>Camuflaje</t>
  </si>
  <si>
    <t>1Yc4NCuMAd3sR0kaxBjEd0zeYcpZtvWDt</t>
  </si>
  <si>
    <t>https://drive.google.com/file/d/1Yc4NCuMAd3sR0kaxBjEd0zeYcpZtvWDt/view?usp=drivesdk</t>
  </si>
  <si>
    <t>https://drive.google.com/uc?export=view&amp;id=1Yc4NCuMAd3sR0kaxBjEd0zeYcpZtvWDt</t>
  </si>
  <si>
    <t>Canalizar.png</t>
  </si>
  <si>
    <t>Canalizar</t>
  </si>
  <si>
    <t>12v7TMj5JkE2xVDlpiTyr4hbT-qR3jACP</t>
  </si>
  <si>
    <t>https://drive.google.com/file/d/12v7TMj5JkE2xVDlpiTyr4hbT-qR3jACP/view?usp=drivesdk</t>
  </si>
  <si>
    <t>https://drive.google.com/uc?export=view&amp;id=12v7TMj5JkE2xVDlpiTyr4hbT-qR3jACP</t>
  </si>
  <si>
    <t>Canalizar divinidad.png</t>
  </si>
  <si>
    <t>Canalizar divinidad</t>
  </si>
  <si>
    <t>1WHsmvO3G0t_al4jTOQmRnPJnrn_HYjY9</t>
  </si>
  <si>
    <t>https://drive.google.com/file/d/1WHsmvO3G0t_al4jTOQmRnPJnrn_HYjY9/view?usp=drivesdk</t>
  </si>
  <si>
    <t>https://drive.google.com/uc?export=view&amp;id=1WHsmvO3G0t_al4jTOQmRnPJnrn_HYjY9</t>
  </si>
  <si>
    <t>Cansado.jpg</t>
  </si>
  <si>
    <t>Cansado</t>
  </si>
  <si>
    <t>1yS9CcFriVPis59g4z26Nc7BgS3FnsfcL</t>
  </si>
  <si>
    <t>https://drive.google.com/file/d/1yS9CcFriVPis59g4z26Nc7BgS3FnsfcL/view?usp=drivesdk</t>
  </si>
  <si>
    <t>https://drive.google.com/uc?export=view&amp;id=1yS9CcFriVPis59g4z26Nc7BgS3FnsfcL</t>
  </si>
  <si>
    <t>Capucha de cuero.png</t>
  </si>
  <si>
    <t>Capucha de cuero</t>
  </si>
  <si>
    <t>1MHSuCakUPeqf1hVvq3K5TSCmux9e0Viv</t>
  </si>
  <si>
    <t>https://drive.google.com/file/d/1MHSuCakUPeqf1hVvq3K5TSCmux9e0Viv/view?usp=drivesdk</t>
  </si>
  <si>
    <t>https://drive.google.com/uc?export=view&amp;id=1MHSuCakUPeqf1hVvq3K5TSCmux9e0Viv</t>
  </si>
  <si>
    <t>Capucha de piel.jpg</t>
  </si>
  <si>
    <t>Capucha de piel</t>
  </si>
  <si>
    <t>1471pNj_kp78wIS4KJX8sdDEb9Q0MssPo</t>
  </si>
  <si>
    <t>https://drive.google.com/file/d/1471pNj_kp78wIS4KJX8sdDEb9Q0MssPo/view?usp=drivesdk</t>
  </si>
  <si>
    <t>https://drive.google.com/uc?export=view&amp;id=1471pNj_kp78wIS4KJX8sdDEb9Q0MssPo</t>
  </si>
  <si>
    <t>Cargar.png</t>
  </si>
  <si>
    <t>Cargar</t>
  </si>
  <si>
    <t>1H6fbNOFH6pRqD5D8W6hspPez_gR_eMlK</t>
  </si>
  <si>
    <t>https://drive.google.com/file/d/1H6fbNOFH6pRqD5D8W6hspPez_gR_eMlK/view?usp=drivesdk</t>
  </si>
  <si>
    <t>https://drive.google.com/uc?export=view&amp;id=1H6fbNOFH6pRqD5D8W6hspPez_gR_eMlK</t>
  </si>
  <si>
    <t>Cargar_bw.png</t>
  </si>
  <si>
    <t>Cargar bw</t>
  </si>
  <si>
    <t>1kCvMOuq1TF5trcdyUDRAacslJ8Sg6J-Q</t>
  </si>
  <si>
    <t>https://drive.google.com/file/d/1kCvMOuq1TF5trcdyUDRAacslJ8Sg6J-Q/view?usp=drivesdk</t>
  </si>
  <si>
    <t>https://drive.google.com/uc?export=view&amp;id=1kCvMOuq1TF5trcdyUDRAacslJ8Sg6J-Q</t>
  </si>
  <si>
    <t>Carisma.png</t>
  </si>
  <si>
    <t>Carisma</t>
  </si>
  <si>
    <t>1NK5KXjMuCQeZVenqqtEHgHgmK_3mqS1E</t>
  </si>
  <si>
    <t>https://drive.google.com/file/d/1NK5KXjMuCQeZVenqqtEHgHgmK_3mqS1E/view?usp=drivesdk</t>
  </si>
  <si>
    <t>https://drive.google.com/uc?export=view&amp;id=1NK5KXjMuCQeZVenqqtEHgHgmK_3mqS1E</t>
  </si>
  <si>
    <t>Carne de Cerdo.png</t>
  </si>
  <si>
    <t>Carne de Cerdo</t>
  </si>
  <si>
    <t>1gsJvxoKqUWk63gid6x4oR0C1bl-bhLrG</t>
  </si>
  <si>
    <t>https://drive.google.com/file/d/1gsJvxoKqUWk63gid6x4oR0C1bl-bhLrG/view?usp=drivesdk</t>
  </si>
  <si>
    <t>https://drive.google.com/uc?export=view&amp;id=1gsJvxoKqUWk63gid6x4oR0C1bl-bhLrG</t>
  </si>
  <si>
    <t>Carne de Conejo.png</t>
  </si>
  <si>
    <t>Carne de Conejo</t>
  </si>
  <si>
    <t>1_RsVOuuuWiIZmtis5a61qMM9mYBjHf5_</t>
  </si>
  <si>
    <t>https://drive.google.com/file/d/1_RsVOuuuWiIZmtis5a61qMM9mYBjHf5_/view?usp=drivesdk</t>
  </si>
  <si>
    <t>https://drive.google.com/uc?export=view&amp;id=1_RsVOuuuWiIZmtis5a61qMM9mYBjHf5_</t>
  </si>
  <si>
    <t>Carne de Faisán.png</t>
  </si>
  <si>
    <t>Carne de Faisán</t>
  </si>
  <si>
    <t>1VPcq4Hm72ctr1qPVNGgHllQ75p50fz9D</t>
  </si>
  <si>
    <t>https://drive.google.com/file/d/1VPcq4Hm72ctr1qPVNGgHllQ75p50fz9D/view?usp=drivesdk</t>
  </si>
  <si>
    <t>https://drive.google.com/uc?export=view&amp;id=1VPcq4Hm72ctr1qPVNGgHllQ75p50fz9D</t>
  </si>
  <si>
    <t>Carne de pollo.png</t>
  </si>
  <si>
    <t>Carne de pollo</t>
  </si>
  <si>
    <t>1YUGptOR0wCm5mUkJdMwJLWoFj22G2ZHy</t>
  </si>
  <si>
    <t>https://drive.google.com/file/d/1YUGptOR0wCm5mUkJdMwJLWoFj22G2ZHy/view?usp=drivesdk</t>
  </si>
  <si>
    <t>https://drive.google.com/uc?export=view&amp;id=1YUGptOR0wCm5mUkJdMwJLWoFj22G2ZHy</t>
  </si>
  <si>
    <t>Carne de Vaca.png</t>
  </si>
  <si>
    <t>Carne de Vaca</t>
  </si>
  <si>
    <t>1G0EZNbMeHXjiHjo_ZoPy9cnwKgkkEgTO</t>
  </si>
  <si>
    <t>https://drive.google.com/file/d/1G0EZNbMeHXjiHjo_ZoPy9cnwKgkkEgTO/view?usp=drivesdk</t>
  </si>
  <si>
    <t>https://drive.google.com/uc?export=view&amp;id=1G0EZNbMeHXjiHjo_ZoPy9cnwKgkkEgTO</t>
  </si>
  <si>
    <t>Carne suave asada con salsa de frutos rojos.png</t>
  </si>
  <si>
    <t>Carne suave asada con salsa de frutos rojos</t>
  </si>
  <si>
    <t>13H2ZQEZK_0ar3ojQA1gRjtp_zM86I6Gw</t>
  </si>
  <si>
    <t>https://drive.google.com/file/d/13H2ZQEZK_0ar3ojQA1gRjtp_zM86I6Gw/view?usp=drivesdk</t>
  </si>
  <si>
    <t>https://drive.google.com/uc?export=view&amp;id=13H2ZQEZK_0ar3ojQA1gRjtp_zM86I6Gw</t>
  </si>
  <si>
    <t>Casco de cuero.jpg</t>
  </si>
  <si>
    <t>Casco de cuero</t>
  </si>
  <si>
    <t>1jiIxugB5dhlHYUBNX98i4BHRJwmoURGb</t>
  </si>
  <si>
    <t>https://drive.google.com/file/d/1jiIxugB5dhlHYUBNX98i4BHRJwmoURGb/view?usp=drivesdk</t>
  </si>
  <si>
    <t>https://drive.google.com/uc?export=view&amp;id=1jiIxugB5dhlHYUBNX98i4BHRJwmoURGb</t>
  </si>
  <si>
    <t>Castigar la magia.png</t>
  </si>
  <si>
    <t>Castigar la magia</t>
  </si>
  <si>
    <t>11JNu5s17qiJn3kYtvW43fwaQMRekJMu0</t>
  </si>
  <si>
    <t>https://drive.google.com/file/d/11JNu5s17qiJn3kYtvW43fwaQMRekJMu0/view?usp=drivesdk</t>
  </si>
  <si>
    <t>https://drive.google.com/uc?export=view&amp;id=11JNu5s17qiJn3kYtvW43fwaQMRekJMu0</t>
  </si>
  <si>
    <t>Castigar la magia_bw.png</t>
  </si>
  <si>
    <t>Castigar la magia bw</t>
  </si>
  <si>
    <t>1bQstKFIW6gVLPqDy-pDILNRZ3uF9Ch9c</t>
  </si>
  <si>
    <t>https://drive.google.com/file/d/1bQstKFIW6gVLPqDy-pDILNRZ3uF9Ch9c/view?usp=drivesdk</t>
  </si>
  <si>
    <t>https://drive.google.com/uc?export=view&amp;id=1bQstKFIW6gVLPqDy-pDILNRZ3uF9Ch9c</t>
  </si>
  <si>
    <t>Castigo divino.png</t>
  </si>
  <si>
    <t>Castigo divino</t>
  </si>
  <si>
    <t>1ltfNj0fYZI35tndIDRD9L5zHpSRvrsOT</t>
  </si>
  <si>
    <t>https://drive.google.com/file/d/1ltfNj0fYZI35tndIDRD9L5zHpSRvrsOT/view?usp=drivesdk</t>
  </si>
  <si>
    <t>https://drive.google.com/uc?export=view&amp;id=1ltfNj0fYZI35tndIDRD9L5zHpSRvrsOT</t>
  </si>
  <si>
    <t>Castigo divino_bw.png</t>
  </si>
  <si>
    <t>Castigo divino bw</t>
  </si>
  <si>
    <t>1DrTuxE1Lpja5u8zt--m71EXnMJPJXE81</t>
  </si>
  <si>
    <t>https://drive.google.com/file/d/1DrTuxE1Lpja5u8zt--m71EXnMJPJXE81/view?usp=drivesdk</t>
  </si>
  <si>
    <t>https://drive.google.com/uc?export=view&amp;id=1DrTuxE1Lpja5u8zt--m71EXnMJPJXE81</t>
  </si>
  <si>
    <t>Cazador de presas mayores.png</t>
  </si>
  <si>
    <t>Cazador de presas mayores</t>
  </si>
  <si>
    <t>123IZnye-EEVJEUTtvL1Z5TcNbJ0htL43</t>
  </si>
  <si>
    <t>https://drive.google.com/file/d/123IZnye-EEVJEUTtvL1Z5TcNbJ0htL43/view?usp=drivesdk</t>
  </si>
  <si>
    <t>https://drive.google.com/uc?export=view&amp;id=123IZnye-EEVJEUTtvL1Z5TcNbJ0htL43</t>
  </si>
  <si>
    <t>Cazador de presas mayores_bw.png</t>
  </si>
  <si>
    <t>Cazador de presas mayores bw</t>
  </si>
  <si>
    <t>1pdZ0Xo18Hs4vlFnMLZfG0CNqTqqUJMB3</t>
  </si>
  <si>
    <t>https://drive.google.com/file/d/1pdZ0Xo18Hs4vlFnMLZfG0CNqTqqUJMB3/view?usp=drivesdk</t>
  </si>
  <si>
    <t>https://drive.google.com/uc?export=view&amp;id=1pdZ0Xo18Hs4vlFnMLZfG0CNqTqqUJMB3</t>
  </si>
  <si>
    <t>Cazador especializado.png</t>
  </si>
  <si>
    <t>Cazador especializado</t>
  </si>
  <si>
    <t>10rNTdtukEnQKv8hEnwo1dT44h3QqgkyW</t>
  </si>
  <si>
    <t>https://drive.google.com/file/d/10rNTdtukEnQKv8hEnwo1dT44h3QqgkyW/view?usp=drivesdk</t>
  </si>
  <si>
    <t>https://drive.google.com/uc?export=view&amp;id=10rNTdtukEnQKv8hEnwo1dT44h3QqgkyW</t>
  </si>
  <si>
    <t>Cebolla.png</t>
  </si>
  <si>
    <t>Cebolla</t>
  </si>
  <si>
    <t>13DF52PFvLEhxQcUeoSBHJoGI9pPEB_Wk</t>
  </si>
  <si>
    <t>https://drive.google.com/file/d/13DF52PFvLEhxQcUeoSBHJoGI9pPEB_Wk/view?usp=drivesdk</t>
  </si>
  <si>
    <t>https://drive.google.com/uc?export=view&amp;id=13DF52PFvLEhxQcUeoSBHJoGI9pPEB_Wk</t>
  </si>
  <si>
    <t>Cegado.jpg</t>
  </si>
  <si>
    <t>Cegado</t>
  </si>
  <si>
    <t>13DHQmm9SfQ3b9WcQSiytuR3aTj-NzY47</t>
  </si>
  <si>
    <t>https://drive.google.com/file/d/13DHQmm9SfQ3b9WcQSiytuR3aTj-NzY47/view?usp=drivesdk</t>
  </si>
  <si>
    <t>https://drive.google.com/uc?export=view&amp;id=13DHQmm9SfQ3b9WcQSiytuR3aTj-NzY47</t>
  </si>
  <si>
    <t>Ceniza de huesos.png</t>
  </si>
  <si>
    <t>Ceniza de huesos</t>
  </si>
  <si>
    <t>1Z5LtI-uzQYYbi2NDdlCz5FOIk_6H1lBq</t>
  </si>
  <si>
    <t>https://drive.google.com/file/d/1Z5LtI-uzQYYbi2NDdlCz5FOIk_6H1lBq/view?usp=drivesdk</t>
  </si>
  <si>
    <t>https://drive.google.com/uc?export=view&amp;id=1Z5LtI-uzQYYbi2NDdlCz5FOIk_6H1lBq</t>
  </si>
  <si>
    <t>Ceniza sulfurosa.png</t>
  </si>
  <si>
    <t>Ceniza sulfurosa</t>
  </si>
  <si>
    <t>1g33dS84Is6d4w9I_3k85MwqWoqY8cj7s</t>
  </si>
  <si>
    <t>https://drive.google.com/file/d/1g33dS84Is6d4w9I_3k85MwqWoqY8cj7s/view?usp=drivesdk</t>
  </si>
  <si>
    <t>https://drive.google.com/uc?export=view&amp;id=1g33dS84Is6d4w9I_3k85MwqWoqY8cj7s</t>
  </si>
  <si>
    <t>Centella.png</t>
  </si>
  <si>
    <t>Centella</t>
  </si>
  <si>
    <t>1BkLNmpnk7EU7owlnqs1GY-hIGTlyaEJ1</t>
  </si>
  <si>
    <t>https://drive.google.com/file/d/1BkLNmpnk7EU7owlnqs1GY-hIGTlyaEJ1/view?usp=drivesdk</t>
  </si>
  <si>
    <t>https://drive.google.com/uc?export=view&amp;id=1BkLNmpnk7EU7owlnqs1GY-hIGTlyaEJ1</t>
  </si>
  <si>
    <t>1tAcctdcdUiovI0r3W_34qj3x-dvmCN7d</t>
  </si>
  <si>
    <t>https://drive.google.com/file/d/1tAcctdcdUiovI0r3W_34qj3x-dvmCN7d/view?usp=drivesdk</t>
  </si>
  <si>
    <t>https://drive.google.com/uc?export=view&amp;id=1tAcctdcdUiovI0r3W_34qj3x-dvmCN7d</t>
  </si>
  <si>
    <t>Centella_bw.png</t>
  </si>
  <si>
    <t>Centella bw</t>
  </si>
  <si>
    <t>1Qf11M_7TDVPamy6Z9WJ7xG96no1l0o2o</t>
  </si>
  <si>
    <t>https://drive.google.com/file/d/1Qf11M_7TDVPamy6Z9WJ7xG96no1l0o2o/view?usp=drivesdk</t>
  </si>
  <si>
    <t>https://drive.google.com/uc?export=view&amp;id=1Qf11M_7TDVPamy6Z9WJ7xG96no1l0o2o</t>
  </si>
  <si>
    <t>Cerveza.png</t>
  </si>
  <si>
    <t>Cerveza</t>
  </si>
  <si>
    <t>1BF6bUvTDA89QSAHeWZE8Zlud8DRdFrSw</t>
  </si>
  <si>
    <t>https://drive.google.com/file/d/1BF6bUvTDA89QSAHeWZE8Zlud8DRdFrSw/view?usp=drivesdk</t>
  </si>
  <si>
    <t>https://drive.google.com/uc?export=view&amp;id=1BF6bUvTDA89QSAHeWZE8Zlud8DRdFrSw</t>
  </si>
  <si>
    <t>Cerveza Enana.png</t>
  </si>
  <si>
    <t>Cerveza Enana</t>
  </si>
  <si>
    <t>1KC1Bpw6QgjkjxsEnHCYq4s0DeIcXgSes</t>
  </si>
  <si>
    <t>https://drive.google.com/file/d/1KC1Bpw6QgjkjxsEnHCYq4s0DeIcXgSes/view?usp=drivesdk</t>
  </si>
  <si>
    <t>https://drive.google.com/uc?export=view&amp;id=1KC1Bpw6QgjkjxsEnHCYq4s0DeIcXgSes</t>
  </si>
  <si>
    <t>Cestus.png</t>
  </si>
  <si>
    <t>Cestus</t>
  </si>
  <si>
    <t>19Ye_cM7wLKhfg35mEgs3A8MohoraP2Sc</t>
  </si>
  <si>
    <t>https://drive.google.com/file/d/19Ye_cM7wLKhfg35mEgs3A8MohoraP2Sc/view?usp=drivesdk</t>
  </si>
  <si>
    <t>https://drive.google.com/uc?export=view&amp;id=19Ye_cM7wLKhfg35mEgs3A8MohoraP2Sc</t>
  </si>
  <si>
    <t>Chaleco de cuero.png</t>
  </si>
  <si>
    <t>Chaleco de cuero</t>
  </si>
  <si>
    <t>1dPpsNA-e03Roz4FyS7WOVlvZgcvuX7e2</t>
  </si>
  <si>
    <t>https://drive.google.com/file/d/1dPpsNA-e03Roz4FyS7WOVlvZgcvuX7e2/view?usp=drivesdk</t>
  </si>
  <si>
    <t>https://drive.google.com/uc?export=view&amp;id=1dPpsNA-e03Roz4FyS7WOVlvZgcvuX7e2</t>
  </si>
  <si>
    <t>Chaleco de cuero tachonado.jpg</t>
  </si>
  <si>
    <t>Chaleco de cuero tachonado</t>
  </si>
  <si>
    <t>1HT_DQ2AY2qDbs8SHox2R5j0pjPALOVvL</t>
  </si>
  <si>
    <t>https://drive.google.com/file/d/1HT_DQ2AY2qDbs8SHox2R5j0pjPALOVvL/view?usp=drivesdk</t>
  </si>
  <si>
    <t>https://drive.google.com/uc?export=view&amp;id=1HT_DQ2AY2qDbs8SHox2R5j0pjPALOVvL</t>
  </si>
  <si>
    <t>Charqui.png</t>
  </si>
  <si>
    <t>Charqui</t>
  </si>
  <si>
    <t>1qHWI4Yk9ucWakZLarwXdhKL0-vJwKHP6</t>
  </si>
  <si>
    <t>https://drive.google.com/file/d/1qHWI4Yk9ucWakZLarwXdhKL0-vJwKHP6/view?usp=drivesdk</t>
  </si>
  <si>
    <t>https://drive.google.com/uc?export=view&amp;id=1qHWI4Yk9ucWakZLarwXdhKL0-vJwKHP6</t>
  </si>
  <si>
    <t>Choque.png</t>
  </si>
  <si>
    <t>Choque</t>
  </si>
  <si>
    <t>1Fw5nwkuaDgYOF4zwdSXTtbHj6FajA7MN</t>
  </si>
  <si>
    <t>https://drive.google.com/file/d/1Fw5nwkuaDgYOF4zwdSXTtbHj6FajA7MN/view?usp=drivesdk</t>
  </si>
  <si>
    <t>https://drive.google.com/uc?export=view&amp;id=1Fw5nwkuaDgYOF4zwdSXTtbHj6FajA7MN</t>
  </si>
  <si>
    <t>Choque_bw.png</t>
  </si>
  <si>
    <t>Choque bw</t>
  </si>
  <si>
    <t>1l0epeaSIWMbNz_b4cvDMMHqbwPHqpnlK</t>
  </si>
  <si>
    <t>https://drive.google.com/file/d/1l0epeaSIWMbNz_b4cvDMMHqbwPHqpnlK/view?usp=drivesdk</t>
  </si>
  <si>
    <t>https://drive.google.com/uc?export=view&amp;id=1l0epeaSIWMbNz_b4cvDMMHqbwPHqpnlK</t>
  </si>
  <si>
    <t>Cimitarra.jpg</t>
  </si>
  <si>
    <t>Cimitarra</t>
  </si>
  <si>
    <t>1McxBba3FEeX_c4-4qmoTdegBF4YIGZy1</t>
  </si>
  <si>
    <t>https://drive.google.com/file/d/1McxBba3FEeX_c4-4qmoTdegBF4YIGZy1/view?usp=drivesdk</t>
  </si>
  <si>
    <t>https://drive.google.com/uc?export=view&amp;id=1McxBba3FEeX_c4-4qmoTdegBF4YIGZy1</t>
  </si>
  <si>
    <t>Clamatormentas.png</t>
  </si>
  <si>
    <t>Clamatormentas</t>
  </si>
  <si>
    <t>19XPbEP0mnG1BmOCdBdmETuz2gOtYw8Kb</t>
  </si>
  <si>
    <t>https://drive.google.com/file/d/19XPbEP0mnG1BmOCdBdmETuz2gOtYw8Kb/view?usp=drivesdk</t>
  </si>
  <si>
    <t>https://drive.google.com/uc?export=view&amp;id=19XPbEP0mnG1BmOCdBdmETuz2gOtYw8Kb</t>
  </si>
  <si>
    <t>Clavos.png</t>
  </si>
  <si>
    <t>Clavos</t>
  </si>
  <si>
    <t>1bN1aZ_rURJtsu9zrQlmk8zf0D12P2gIE</t>
  </si>
  <si>
    <t>https://drive.google.com/file/d/1bN1aZ_rURJtsu9zrQlmk8zf0D12P2gIE/view?usp=drivesdk</t>
  </si>
  <si>
    <t>https://drive.google.com/uc?export=view&amp;id=1bN1aZ_rURJtsu9zrQlmk8zf0D12P2gIE</t>
  </si>
  <si>
    <t>Claymander.png</t>
  </si>
  <si>
    <t>Claymander</t>
  </si>
  <si>
    <t>1mUR6-lSBNUK5k3h-ET_HbE5iYyVJ0wXp</t>
  </si>
  <si>
    <t>https://drive.google.com/file/d/1mUR6-lSBNUK5k3h-ET_HbE5iYyVJ0wXp/view?usp=drivesdk</t>
  </si>
  <si>
    <t>https://drive.google.com/uc?export=view&amp;id=1mUR6-lSBNUK5k3h-ET_HbE5iYyVJ0wXp</t>
  </si>
  <si>
    <t>Atlandri</t>
  </si>
  <si>
    <t>152oSPcfb8x0CHg26j1LdS4vWQ94JX7LK</t>
  </si>
  <si>
    <t>Claymander Femenina.png</t>
  </si>
  <si>
    <t>Claymander Femenina</t>
  </si>
  <si>
    <t>1rDNMqdp40yhzm9QVtGdhB1aZL6FBw61m</t>
  </si>
  <si>
    <t>https://drive.google.com/file/d/1rDNMqdp40yhzm9QVtGdhB1aZL6FBw61m/view?usp=drivesdk</t>
  </si>
  <si>
    <t>https://drive.google.com/uc?export=view&amp;id=1rDNMqdp40yhzm9QVtGdhB1aZL6FBw61m</t>
  </si>
  <si>
    <t>Cocina.png</t>
  </si>
  <si>
    <t>17SqWFrlp5Rj-U9-gMa5qqdAq8ZxnbuSJ</t>
  </si>
  <si>
    <t>https://drive.google.com/file/d/17SqWFrlp5Rj-U9-gMa5qqdAq8ZxnbuSJ/view?usp=drivesdk</t>
  </si>
  <si>
    <t>https://drive.google.com/uc?export=view&amp;id=17SqWFrlp5Rj-U9-gMa5qqdAq8ZxnbuSJ</t>
  </si>
  <si>
    <t>Códice Arcano.png</t>
  </si>
  <si>
    <t>Códice Arcano</t>
  </si>
  <si>
    <t>10__ineFm4FbtVibB_b6OosnZxzIBozz-</t>
  </si>
  <si>
    <t>https://drive.google.com/file/d/10__ineFm4FbtVibB_b6OosnZxzIBozz-/view?usp=drivesdk</t>
  </si>
  <si>
    <t>https://drive.google.com/uc?export=view&amp;id=10__ineFm4FbtVibB_b6OosnZxzIBozz-</t>
  </si>
  <si>
    <t>Cofia de cota de malla.png</t>
  </si>
  <si>
    <t>Cofia de cota de malla</t>
  </si>
  <si>
    <t>1TflH8CkCNMML1VC5ttJKuMeEdLeZfFq1</t>
  </si>
  <si>
    <t>https://drive.google.com/file/d/1TflH8CkCNMML1VC5ttJKuMeEdLeZfFq1/view?usp=drivesdk</t>
  </si>
  <si>
    <t>https://drive.google.com/uc?export=view&amp;id=1TflH8CkCNMML1VC5ttJKuMeEdLeZfFq1</t>
  </si>
  <si>
    <t>Combate desarmado.png</t>
  </si>
  <si>
    <t>Combate desarmado</t>
  </si>
  <si>
    <t>1OaB0xOxAqEDwS2R1VVTx1FOE_YY1JdHP</t>
  </si>
  <si>
    <t>https://drive.google.com/file/d/1OaB0xOxAqEDwS2R1VVTx1FOE_YY1JdHP/view?usp=drivesdk</t>
  </si>
  <si>
    <t>https://drive.google.com/uc?export=view&amp;id=1OaB0xOxAqEDwS2R1VVTx1FOE_YY1JdHP</t>
  </si>
  <si>
    <t>Combatiente Atlander.png</t>
  </si>
  <si>
    <t>Combatiente Atlander</t>
  </si>
  <si>
    <t>1gb106yRr9pNvoBduoIl1F6o_fuhBIUtM</t>
  </si>
  <si>
    <t>https://drive.google.com/file/d/1gb106yRr9pNvoBduoIl1F6o_fuhBIUtM/view?usp=drivesdk</t>
  </si>
  <si>
    <t>https://drive.google.com/uc?export=view&amp;id=1gb106yRr9pNvoBduoIl1F6o_fuhBIUtM</t>
  </si>
  <si>
    <t>Combatiente recio.png</t>
  </si>
  <si>
    <t>Combatiente recio</t>
  </si>
  <si>
    <t>1S84YD6lkVfMAOI12SHpW_rYLu2OPx3aD</t>
  </si>
  <si>
    <t>https://drive.google.com/file/d/1S84YD6lkVfMAOI12SHpW_rYLu2OPx3aD/view?usp=drivesdk</t>
  </si>
  <si>
    <t>https://drive.google.com/uc?export=view&amp;id=1S84YD6lkVfMAOI12SHpW_rYLu2OPx3aD</t>
  </si>
  <si>
    <t>Combatiente recio_bw.png</t>
  </si>
  <si>
    <t>Combatiente recio bw</t>
  </si>
  <si>
    <t>1UQTNFGSVH3ycSJb627Xm9KvhPjl9IFGq</t>
  </si>
  <si>
    <t>https://drive.google.com/file/d/1UQTNFGSVH3ycSJb627Xm9KvhPjl9IFGq/view?usp=drivesdk</t>
  </si>
  <si>
    <t>https://drive.google.com/uc?export=view&amp;id=1UQTNFGSVH3ycSJb627Xm9KvhPjl9IFGq</t>
  </si>
  <si>
    <t>Compartir pena.png</t>
  </si>
  <si>
    <t>Compartir pena</t>
  </si>
  <si>
    <t>1HnQ_Av5HcJMh-GXYDKjg9S_W7adp93sE</t>
  </si>
  <si>
    <t>https://drive.google.com/file/d/1HnQ_Av5HcJMh-GXYDKjg9S_W7adp93sE/view?usp=drivesdk</t>
  </si>
  <si>
    <t>https://drive.google.com/uc?export=view&amp;id=1HnQ_Av5HcJMh-GXYDKjg9S_W7adp93sE</t>
  </si>
  <si>
    <t>Compartir pena_bw.png</t>
  </si>
  <si>
    <t>Compartir pena bw</t>
  </si>
  <si>
    <t>1ZItvkmFv5qd9COLnpVFjkrxHEw-OOW8S</t>
  </si>
  <si>
    <t>https://drive.google.com/file/d/1ZItvkmFv5qd9COLnpVFjkrxHEw-OOW8S/view?usp=drivesdk</t>
  </si>
  <si>
    <t>https://drive.google.com/uc?export=view&amp;id=1ZItvkmFv5qd9COLnpVFjkrxHEw-OOW8S</t>
  </si>
  <si>
    <t>Concentración.jpg</t>
  </si>
  <si>
    <t>Concentración</t>
  </si>
  <si>
    <t>1HnSUxthHf7rRu7QPdSGgP7NAiiyZw9vL</t>
  </si>
  <si>
    <t>https://drive.google.com/file/d/1HnSUxthHf7rRu7QPdSGgP7NAiiyZw9vL/view?usp=drivesdk</t>
  </si>
  <si>
    <t>https://drive.google.com/uc?export=view&amp;id=1HnSUxthHf7rRu7QPdSGgP7NAiiyZw9vL</t>
  </si>
  <si>
    <t>Conductividad.png</t>
  </si>
  <si>
    <t>Conductividad</t>
  </si>
  <si>
    <t>1Rm9EJi7VAY3rR7n6blHsxU91ffxf1ACL</t>
  </si>
  <si>
    <t>https://drive.google.com/file/d/1Rm9EJi7VAY3rR7n6blHsxU91ffxf1ACL/view?usp=drivesdk</t>
  </si>
  <si>
    <t>https://drive.google.com/uc?export=view&amp;id=1Rm9EJi7VAY3rR7n6blHsxU91ffxf1ACL</t>
  </si>
  <si>
    <t>Conexión con los elementos.png</t>
  </si>
  <si>
    <t>Conexión con los elementos</t>
  </si>
  <si>
    <t>11cE7AVdTsG2fOr_tvy513rcj5kUNsxw_</t>
  </si>
  <si>
    <t>https://drive.google.com/file/d/11cE7AVdTsG2fOr_tvy513rcj5kUNsxw_/view?usp=drivesdk</t>
  </si>
  <si>
    <t>https://drive.google.com/uc?export=view&amp;id=11cE7AVdTsG2fOr_tvy513rcj5kUNsxw_</t>
  </si>
  <si>
    <t>Conjurar Bola de Fuego.png</t>
  </si>
  <si>
    <t>Conjurar Bola de Fuego</t>
  </si>
  <si>
    <t>1-lD0RrJ3u4eWihM01mRWB0aD21pf8Fba</t>
  </si>
  <si>
    <t>https://drive.google.com/file/d/1-lD0RrJ3u4eWihM01mRWB0aD21pf8Fba/view?usp=drivesdk</t>
  </si>
  <si>
    <t>https://drive.google.com/uc?export=view&amp;id=1-lD0RrJ3u4eWihM01mRWB0aD21pf8Fba</t>
  </si>
  <si>
    <t>Conjurar Centella.png</t>
  </si>
  <si>
    <t>Conjurar Centella</t>
  </si>
  <si>
    <t>12MyTrQTZh7wHH51lx-BtMryP6RKC1H6n</t>
  </si>
  <si>
    <t>https://drive.google.com/file/d/12MyTrQTZh7wHH51lx-BtMryP6RKC1H6n/view?usp=drivesdk</t>
  </si>
  <si>
    <t>https://drive.google.com/uc?export=view&amp;id=12MyTrQTZh7wHH51lx-BtMryP6RKC1H6n</t>
  </si>
  <si>
    <t>Conjurar enjambre.png</t>
  </si>
  <si>
    <t>Conjurar enjambre</t>
  </si>
  <si>
    <t>18zGY-tL7ayJoYMJMhjJEg_CXMBCm2lD5</t>
  </si>
  <si>
    <t>https://drive.google.com/file/d/18zGY-tL7ayJoYMJMhjJEg_CXMBCm2lD5/view?usp=drivesdk</t>
  </si>
  <si>
    <t>https://drive.google.com/uc?export=view&amp;id=18zGY-tL7ayJoYMJMhjJEg_CXMBCm2lD5</t>
  </si>
  <si>
    <t>Conjurar enjambre_bw.png</t>
  </si>
  <si>
    <t>Conjurar enjambre bw</t>
  </si>
  <si>
    <t>19cczZy8sD45wHyV3U9UUNnt0nQQmFblA</t>
  </si>
  <si>
    <t>https://drive.google.com/file/d/19cczZy8sD45wHyV3U9UUNnt0nQQmFblA/view?usp=drivesdk</t>
  </si>
  <si>
    <t>https://drive.google.com/uc?export=view&amp;id=19cczZy8sD45wHyV3U9UUNnt0nQQmFblA</t>
  </si>
  <si>
    <t>Conjuro.png</t>
  </si>
  <si>
    <t>Conjuro</t>
  </si>
  <si>
    <t>1s4rsAJfcWxVfr8GEKv4D7CHTbmmQ3PA6</t>
  </si>
  <si>
    <t>https://drive.google.com/file/d/1s4rsAJfcWxVfr8GEKv4D7CHTbmmQ3PA6/view?usp=drivesdk</t>
  </si>
  <si>
    <t>https://drive.google.com/uc?export=view&amp;id=1s4rsAJfcWxVfr8GEKv4D7CHTbmmQ3PA6</t>
  </si>
  <si>
    <t>Conocimiento de armas a distancia.png</t>
  </si>
  <si>
    <t>Conocimiento de armas a distancia</t>
  </si>
  <si>
    <t>1G-crZURiCgDoC8srRqutAsEJvOxEWsY-</t>
  </si>
  <si>
    <t>https://drive.google.com/file/d/1G-crZURiCgDoC8srRqutAsEJvOxEWsY-/view?usp=drivesdk</t>
  </si>
  <si>
    <t>https://drive.google.com/uc?export=view&amp;id=1G-crZURiCgDoC8srRqutAsEJvOxEWsY-</t>
  </si>
  <si>
    <t>Conocimiento de armas a distancia_bw.png</t>
  </si>
  <si>
    <t>Conocimiento de armas a distancia bw</t>
  </si>
  <si>
    <t>1l8NFgvaElyYsgnRWpUkjVBR8agaFmDy6</t>
  </si>
  <si>
    <t>https://drive.google.com/file/d/1l8NFgvaElyYsgnRWpUkjVBR8agaFmDy6/view?usp=drivesdk</t>
  </si>
  <si>
    <t>https://drive.google.com/uc?export=view&amp;id=1l8NFgvaElyYsgnRWpUkjVBR8agaFmDy6</t>
  </si>
  <si>
    <t>Conocimientos del Bosque.png</t>
  </si>
  <si>
    <t>Conocimientos del Bosque</t>
  </si>
  <si>
    <t>1tU3HZHCjEPC4ZOxlRdisGcNykzGDvdoK</t>
  </si>
  <si>
    <t>https://drive.google.com/file/d/1tU3HZHCjEPC4ZOxlRdisGcNykzGDvdoK/view?usp=drivesdk</t>
  </si>
  <si>
    <t>https://drive.google.com/uc?export=view&amp;id=1tU3HZHCjEPC4ZOxlRdisGcNykzGDvdoK</t>
  </si>
  <si>
    <t>Constitucion.png</t>
  </si>
  <si>
    <t>Constitucion</t>
  </si>
  <si>
    <t>1P3ouUf0SfnTuUc9My1Q6iLHm35S8ELky</t>
  </si>
  <si>
    <t>https://drive.google.com/file/d/1P3ouUf0SfnTuUc9My1Q6iLHm35S8ELky/view?usp=drivesdk</t>
  </si>
  <si>
    <t>https://drive.google.com/uc?export=view&amp;id=1P3ouUf0SfnTuUc9My1Q6iLHm35S8ELky</t>
  </si>
  <si>
    <t>Consumo Ritual.png</t>
  </si>
  <si>
    <t>Consumo Ritual</t>
  </si>
  <si>
    <t>1PocGD8n3O_2AYEckMA06EVdsnHXgPBLC</t>
  </si>
  <si>
    <t>https://drive.google.com/file/d/1PocGD8n3O_2AYEckMA06EVdsnHXgPBLC/view?usp=drivesdk</t>
  </si>
  <si>
    <t>https://drive.google.com/uc?export=view&amp;id=1PocGD8n3O_2AYEckMA06EVdsnHXgPBLC</t>
  </si>
  <si>
    <t>Contorno borroso.png</t>
  </si>
  <si>
    <t>Contorno borroso</t>
  </si>
  <si>
    <t>1uvUmR0lIumnhIW2tMHrxbGND5vzEeps0</t>
  </si>
  <si>
    <t>https://drive.google.com/file/d/1uvUmR0lIumnhIW2tMHrxbGND5vzEeps0/view?usp=drivesdk</t>
  </si>
  <si>
    <t>https://drive.google.com/uc?export=view&amp;id=1uvUmR0lIumnhIW2tMHrxbGND5vzEeps0</t>
  </si>
  <si>
    <t>Contorno borroso_bw.png</t>
  </si>
  <si>
    <t>Contorno borroso bw</t>
  </si>
  <si>
    <t>19joZurJEZPdGzT-p3PUSlHtDwFUolzzY</t>
  </si>
  <si>
    <t>https://drive.google.com/file/d/19joZurJEZPdGzT-p3PUSlHtDwFUolzzY/view?usp=drivesdk</t>
  </si>
  <si>
    <t>https://drive.google.com/uc?export=view&amp;id=19joZurJEZPdGzT-p3PUSlHtDwFUolzzY</t>
  </si>
  <si>
    <t>Contrapesos.png</t>
  </si>
  <si>
    <t>Contrapesos</t>
  </si>
  <si>
    <t>1qP70qMN0xuEEOzsAE2wRnxP30tvGs-EV</t>
  </si>
  <si>
    <t>https://drive.google.com/file/d/1qP70qMN0xuEEOzsAE2wRnxP30tvGs-EV/view?usp=drivesdk</t>
  </si>
  <si>
    <t>https://drive.google.com/uc?export=view&amp;id=1qP70qMN0xuEEOzsAE2wRnxP30tvGs-EV</t>
  </si>
  <si>
    <t>Contrataque.png</t>
  </si>
  <si>
    <t>Contrataque</t>
  </si>
  <si>
    <t>1Cun5zu9DPD98aLjMNu909oTYSc1R47Vx</t>
  </si>
  <si>
    <t>https://drive.google.com/file/d/1Cun5zu9DPD98aLjMNu909oTYSc1R47Vx/view?usp=drivesdk</t>
  </si>
  <si>
    <t>https://drive.google.com/uc?export=view&amp;id=1Cun5zu9DPD98aLjMNu909oTYSc1R47Vx</t>
  </si>
  <si>
    <t>Contrataque_bw.png</t>
  </si>
  <si>
    <t>Contrataque bw</t>
  </si>
  <si>
    <t>1R_azGAYsIpWHv_ZgKG3T2RfOMxFjK6mf</t>
  </si>
  <si>
    <t>https://drive.google.com/file/d/1R_azGAYsIpWHv_ZgKG3T2RfOMxFjK6mf/view?usp=drivesdk</t>
  </si>
  <si>
    <t>https://drive.google.com/uc?export=view&amp;id=1R_azGAYsIpWHv_ZgKG3T2RfOMxFjK6mf</t>
  </si>
  <si>
    <t>Contrataque del escudero.png</t>
  </si>
  <si>
    <t>Contrataque del escudero</t>
  </si>
  <si>
    <t>1CWbwn3wSUQ9kn_wgNWU9Bbc5rLMhsZP1</t>
  </si>
  <si>
    <t>https://drive.google.com/file/d/1CWbwn3wSUQ9kn_wgNWU9Bbc5rLMhsZP1/view?usp=drivesdk</t>
  </si>
  <si>
    <t>https://drive.google.com/uc?export=view&amp;id=1CWbwn3wSUQ9kn_wgNWU9Bbc5rLMhsZP1</t>
  </si>
  <si>
    <t>Contrataque del escudero_bw.png</t>
  </si>
  <si>
    <t>Contrataque del escudero bw</t>
  </si>
  <si>
    <t>1fCfqw0sW3g3wOS3zfvaiq0pNdF2BqcKZ</t>
  </si>
  <si>
    <t>https://drive.google.com/file/d/1fCfqw0sW3g3wOS3zfvaiq0pNdF2BqcKZ/view?usp=drivesdk</t>
  </si>
  <si>
    <t>https://drive.google.com/uc?export=view&amp;id=1fCfqw0sW3g3wOS3zfvaiq0pNdF2BqcKZ</t>
  </si>
  <si>
    <t>Convertir lo impío.png</t>
  </si>
  <si>
    <t>Convertir lo impío</t>
  </si>
  <si>
    <t>1QXBgQANrw1a_hHMO0CgfQVm3o6wfUGfY</t>
  </si>
  <si>
    <t>https://drive.google.com/file/d/1QXBgQANrw1a_hHMO0CgfQVm3o6wfUGfY/view?usp=drivesdk</t>
  </si>
  <si>
    <t>https://drive.google.com/uc?export=view&amp;id=1QXBgQANrw1a_hHMO0CgfQVm3o6wfUGfY</t>
  </si>
  <si>
    <t>Convertir lo impío_bw.png</t>
  </si>
  <si>
    <t>Convertir lo impío bw</t>
  </si>
  <si>
    <t>163iLfRnLjoiYiNE68W-NA0AgdL1Umr3B</t>
  </si>
  <si>
    <t>https://drive.google.com/file/d/163iLfRnLjoiYiNE68W-NA0AgdL1Umr3B/view?usp=drivesdk</t>
  </si>
  <si>
    <t>https://drive.google.com/uc?export=view&amp;id=163iLfRnLjoiYiNE68W-NA0AgdL1Umr3B</t>
  </si>
  <si>
    <t>Convicción del mártir.png</t>
  </si>
  <si>
    <t>Convicción del mártir</t>
  </si>
  <si>
    <t>1LPhOX0kdbeb8cEVFsUnApzZj9HacXAYr</t>
  </si>
  <si>
    <t>https://drive.google.com/file/d/1LPhOX0kdbeb8cEVFsUnApzZj9HacXAYr/view?usp=drivesdk</t>
  </si>
  <si>
    <t>https://drive.google.com/uc?export=view&amp;id=1LPhOX0kdbeb8cEVFsUnApzZj9HacXAYr</t>
  </si>
  <si>
    <t>Convicción del mártir_bw.png</t>
  </si>
  <si>
    <t>Convicción del mártir bw</t>
  </si>
  <si>
    <t>1e-WmVeqVEnSvRcx3lYtIVC7oDebNxkk1</t>
  </si>
  <si>
    <t>https://drive.google.com/file/d/1e-WmVeqVEnSvRcx3lYtIVC7oDebNxkk1/view?usp=drivesdk</t>
  </si>
  <si>
    <t>https://drive.google.com/uc?export=view&amp;id=1e-WmVeqVEnSvRcx3lYtIVC7oDebNxkk1</t>
  </si>
  <si>
    <t>Coraza.png</t>
  </si>
  <si>
    <t>Coraza</t>
  </si>
  <si>
    <t>1_VUUrJKa4DDPR_z-NsIDLrTG5y-cGvkB</t>
  </si>
  <si>
    <t>https://drive.google.com/file/d/1_VUUrJKa4DDPR_z-NsIDLrTG5y-cGvkB/view?usp=drivesdk</t>
  </si>
  <si>
    <t>https://drive.google.com/uc?export=view&amp;id=1_VUUrJKa4DDPR_z-NsIDLrTG5y-cGvkB</t>
  </si>
  <si>
    <t>Corcel de carga alazán.png</t>
  </si>
  <si>
    <t>Corcel de carga alazán</t>
  </si>
  <si>
    <t>1Ei2jR8agIyxsYGCYBX0PPL3ebj9K3HFr</t>
  </si>
  <si>
    <t>https://drive.google.com/file/d/1Ei2jR8agIyxsYGCYBX0PPL3ebj9K3HFr/view?usp=drivesdk</t>
  </si>
  <si>
    <t>https://drive.google.com/uc?export=view&amp;id=1Ei2jR8agIyxsYGCYBX0PPL3ebj9K3HFr</t>
  </si>
  <si>
    <t>Corcel de carga bayo.png</t>
  </si>
  <si>
    <t>Corcel de carga bayo</t>
  </si>
  <si>
    <t>1q85RJVEnDZPClI9E93FKybnJt5-1_eMB</t>
  </si>
  <si>
    <t>https://drive.google.com/file/d/1q85RJVEnDZPClI9E93FKybnJt5-1_eMB/view?usp=drivesdk</t>
  </si>
  <si>
    <t>https://drive.google.com/uc?export=view&amp;id=1q85RJVEnDZPClI9E93FKybnJt5-1_eMB</t>
  </si>
  <si>
    <t>Corcel de carga gateado.png</t>
  </si>
  <si>
    <t>Corcel de carga gateado</t>
  </si>
  <si>
    <t>1R4augrOaGl6kqLt0jjTIb38D2_RTyH-_</t>
  </si>
  <si>
    <t>https://drive.google.com/file/d/1R4augrOaGl6kqLt0jjTIb38D2_RTyH-_/view?usp=drivesdk</t>
  </si>
  <si>
    <t>https://drive.google.com/uc?export=view&amp;id=1R4augrOaGl6kqLt0jjTIb38D2_RTyH-_</t>
  </si>
  <si>
    <t>Corcel de carga overo.png</t>
  </si>
  <si>
    <t>Corcel de carga overo</t>
  </si>
  <si>
    <t>15X4wsw_SZuoiuZPpNJ6WD4fq9EQXud6l</t>
  </si>
  <si>
    <t>https://drive.google.com/file/d/15X4wsw_SZuoiuZPpNJ6WD4fq9EQXud6l/view?usp=drivesdk</t>
  </si>
  <si>
    <t>https://drive.google.com/uc?export=view&amp;id=15X4wsw_SZuoiuZPpNJ6WD4fq9EQXud6l</t>
  </si>
  <si>
    <t>Corcel de carga palomino.png</t>
  </si>
  <si>
    <t>Corcel de carga palomino</t>
  </si>
  <si>
    <t>1XRh-D5QdKzzIFPvzXoQbst5Rvl54X5yr</t>
  </si>
  <si>
    <t>https://drive.google.com/file/d/1XRh-D5QdKzzIFPvzXoQbst5Rvl54X5yr/view?usp=drivesdk</t>
  </si>
  <si>
    <t>https://drive.google.com/uc?export=view&amp;id=1XRh-D5QdKzzIFPvzXoQbst5Rvl54X5yr</t>
  </si>
  <si>
    <t>Corcel de carga Rosillo.png</t>
  </si>
  <si>
    <t>Corcel de carga Rosillo</t>
  </si>
  <si>
    <t>1LB2Qha3zs6HyPLnEz_ijr_ZQmymq8hpB</t>
  </si>
  <si>
    <t>https://drive.google.com/file/d/1LB2Qha3zs6HyPLnEz_ijr_ZQmymq8hpB/view?usp=drivesdk</t>
  </si>
  <si>
    <t>https://drive.google.com/uc?export=view&amp;id=1LB2Qha3zs6HyPLnEz_ijr_ZQmymq8hpB</t>
  </si>
  <si>
    <t>Corcel de carga Tordillo.png</t>
  </si>
  <si>
    <t>Corcel de carga Tordillo</t>
  </si>
  <si>
    <t>1eSKBDsswafiwJ5j26o1OoGPVviqOtDU-</t>
  </si>
  <si>
    <t>https://drive.google.com/file/d/1eSKBDsswafiwJ5j26o1OoGPVviqOtDU-/view?usp=drivesdk</t>
  </si>
  <si>
    <t>https://drive.google.com/uc?export=view&amp;id=1eSKBDsswafiwJ5j26o1OoGPVviqOtDU-</t>
  </si>
  <si>
    <t>Corcel de carga zaino.png</t>
  </si>
  <si>
    <t>Corcel de carga zaino</t>
  </si>
  <si>
    <t>1qXtjtqv98djx3gSjgq2iptK2a8iptVR0</t>
  </si>
  <si>
    <t>https://drive.google.com/file/d/1qXtjtqv98djx3gSjgq2iptK2a8iptVR0/view?usp=drivesdk</t>
  </si>
  <si>
    <t>https://drive.google.com/uc?export=view&amp;id=1qXtjtqv98djx3gSjgq2iptK2a8iptVR0</t>
  </si>
  <si>
    <t>Corcel de las Praderas Alazán.png</t>
  </si>
  <si>
    <t>Corcel de las Praderas Alazán</t>
  </si>
  <si>
    <t>14dDp2W9HaAXML4H736MQBMKVeE1WUX9f</t>
  </si>
  <si>
    <t>https://drive.google.com/file/d/14dDp2W9HaAXML4H736MQBMKVeE1WUX9f/view?usp=drivesdk</t>
  </si>
  <si>
    <t>https://drive.google.com/uc?export=view&amp;id=14dDp2W9HaAXML4H736MQBMKVeE1WUX9f</t>
  </si>
  <si>
    <t>Corcel de las Praderas Bayo.png</t>
  </si>
  <si>
    <t>Corcel de las Praderas Bayo</t>
  </si>
  <si>
    <t>1y26_ltJuTSP9WW3DJwHEXAYpTRPcngmh</t>
  </si>
  <si>
    <t>https://drive.google.com/file/d/1y26_ltJuTSP9WW3DJwHEXAYpTRPcngmh/view?usp=drivesdk</t>
  </si>
  <si>
    <t>https://drive.google.com/uc?export=view&amp;id=1y26_ltJuTSP9WW3DJwHEXAYpTRPcngmh</t>
  </si>
  <si>
    <t>Corcel de las Praderas Gateado.png</t>
  </si>
  <si>
    <t>Corcel de las Praderas Gateado</t>
  </si>
  <si>
    <t>1vQOZLMJR7fpWSKh24zz5k4j5sP0kMPaL</t>
  </si>
  <si>
    <t>https://drive.google.com/file/d/1vQOZLMJR7fpWSKh24zz5k4j5sP0kMPaL/view?usp=drivesdk</t>
  </si>
  <si>
    <t>https://drive.google.com/uc?export=view&amp;id=1vQOZLMJR7fpWSKh24zz5k4j5sP0kMPaL</t>
  </si>
  <si>
    <t>Corcel de las Praderas Moro.png</t>
  </si>
  <si>
    <t>Corcel de las Praderas Moro</t>
  </si>
  <si>
    <t>1PkZ4chv2TupO121eRFWzHDmli8E4UIVN</t>
  </si>
  <si>
    <t>https://drive.google.com/file/d/1PkZ4chv2TupO121eRFWzHDmli8E4UIVN/view?usp=drivesdk</t>
  </si>
  <si>
    <t>https://drive.google.com/uc?export=view&amp;id=1PkZ4chv2TupO121eRFWzHDmli8E4UIVN</t>
  </si>
  <si>
    <t>Corcel de las Praderas Overo.png</t>
  </si>
  <si>
    <t>Corcel de las Praderas Overo</t>
  </si>
  <si>
    <t>11CaqiUGLs3kGMBfADa-RblCogjb_Q9is</t>
  </si>
  <si>
    <t>https://drive.google.com/file/d/11CaqiUGLs3kGMBfADa-RblCogjb_Q9is/view?usp=drivesdk</t>
  </si>
  <si>
    <t>https://drive.google.com/uc?export=view&amp;id=11CaqiUGLs3kGMBfADa-RblCogjb_Q9is</t>
  </si>
  <si>
    <t>Corcel de las Praderas Palomino.png</t>
  </si>
  <si>
    <t>Corcel de las Praderas Palomino</t>
  </si>
  <si>
    <t>1CimBLy0zqUQY6Tox001oJkMS8snZZQDO</t>
  </si>
  <si>
    <t>https://drive.google.com/file/d/1CimBLy0zqUQY6Tox001oJkMS8snZZQDO/view?usp=drivesdk</t>
  </si>
  <si>
    <t>https://drive.google.com/uc?export=view&amp;id=1CimBLy0zqUQY6Tox001oJkMS8snZZQDO</t>
  </si>
  <si>
    <t>Corcel de las Praderas Rosillo.png</t>
  </si>
  <si>
    <t>Corcel de las Praderas Rosillo</t>
  </si>
  <si>
    <t>1vyHmJJly3aIunks7reWZp1dfblzBwugN</t>
  </si>
  <si>
    <t>https://drive.google.com/file/d/1vyHmJJly3aIunks7reWZp1dfblzBwugN/view?usp=drivesdk</t>
  </si>
  <si>
    <t>https://drive.google.com/uc?export=view&amp;id=1vyHmJJly3aIunks7reWZp1dfblzBwugN</t>
  </si>
  <si>
    <t>Corcel de las Praderas Tordillo.png</t>
  </si>
  <si>
    <t>Corcel de las Praderas Tordillo</t>
  </si>
  <si>
    <t>1BaGeGDjhyO3RE8YbkFdDTKnjCSeiQ16J</t>
  </si>
  <si>
    <t>https://drive.google.com/file/d/1BaGeGDjhyO3RE8YbkFdDTKnjCSeiQ16J/view?usp=drivesdk</t>
  </si>
  <si>
    <t>https://drive.google.com/uc?export=view&amp;id=1BaGeGDjhyO3RE8YbkFdDTKnjCSeiQ16J</t>
  </si>
  <si>
    <t>Corcel de las Praderas Zaino.png</t>
  </si>
  <si>
    <t>Corcel de las Praderas Zaino</t>
  </si>
  <si>
    <t>188odjSnMZuyv5q2aeyMfM5grggf_GeLN</t>
  </si>
  <si>
    <t>https://drive.google.com/file/d/188odjSnMZuyv5q2aeyMfM5grggf_GeLN/view?usp=drivesdk</t>
  </si>
  <si>
    <t>https://drive.google.com/uc?export=view&amp;id=188odjSnMZuyv5q2aeyMfM5grggf_GeLN</t>
  </si>
  <si>
    <t>Cordura.png</t>
  </si>
  <si>
    <t>Cordura</t>
  </si>
  <si>
    <t>1a_5yFSLmK1JMRu6EFu0VpkI2zTm1hXyj</t>
  </si>
  <si>
    <t>https://drive.google.com/file/d/1a_5yFSLmK1JMRu6EFu0VpkI2zTm1hXyj/view?usp=drivesdk</t>
  </si>
  <si>
    <t>https://drive.google.com/uc?export=view&amp;id=1a_5yFSLmK1JMRu6EFu0VpkI2zTm1hXyj</t>
  </si>
  <si>
    <t>Cota de escamas.png</t>
  </si>
  <si>
    <t>Cota de escamas</t>
  </si>
  <si>
    <t>1-yCBhtZuAz3_KOA0SakD23D2tX761sV8</t>
  </si>
  <si>
    <t>https://drive.google.com/file/d/1-yCBhtZuAz3_KOA0SakD23D2tX761sV8/view?usp=drivesdk</t>
  </si>
  <si>
    <t>https://drive.google.com/uc?export=view&amp;id=1-yCBhtZuAz3_KOA0SakD23D2tX761sV8</t>
  </si>
  <si>
    <t>Cota de malla guarnecida.png</t>
  </si>
  <si>
    <t>Cota de malla guarnecida</t>
  </si>
  <si>
    <t>1nzaicBaf76uTgJ73SIRU_QZQQPTEWbU0</t>
  </si>
  <si>
    <t>https://drive.google.com/file/d/1nzaicBaf76uTgJ73SIRU_QZQQPTEWbU0/view?usp=drivesdk</t>
  </si>
  <si>
    <t>https://drive.google.com/uc?export=view&amp;id=1nzaicBaf76uTgJ73SIRU_QZQQPTEWbU0</t>
  </si>
  <si>
    <t>Cota de mallas con placas.png</t>
  </si>
  <si>
    <t>Cota de mallas con placas</t>
  </si>
  <si>
    <t>1EQ-VdqUdjVfYqdap_587PJaO7xy60cZQ</t>
  </si>
  <si>
    <t>https://drive.google.com/file/d/1EQ-VdqUdjVfYqdap_587PJaO7xy60cZQ/view?usp=drivesdk</t>
  </si>
  <si>
    <t>https://drive.google.com/uc?export=view&amp;id=1EQ-VdqUdjVfYqdap_587PJaO7xy60cZQ</t>
  </si>
  <si>
    <t>Crear llama.png</t>
  </si>
  <si>
    <t>Crear llama</t>
  </si>
  <si>
    <t>1nmCqLyAnYUkdt3cs-Ah-IHZx46ywq5Hs</t>
  </si>
  <si>
    <t>https://drive.google.com/file/d/1nmCqLyAnYUkdt3cs-Ah-IHZx46ywq5Hs/view?usp=drivesdk</t>
  </si>
  <si>
    <t>https://drive.google.com/uc?export=view&amp;id=1nmCqLyAnYUkdt3cs-Ah-IHZx46ywq5Hs</t>
  </si>
  <si>
    <t>Crear llama_bw.png</t>
  </si>
  <si>
    <t>Crear llama bw</t>
  </si>
  <si>
    <t>1N1odSeTXiXlY0AnoYLZvYMjp19o00ZiB</t>
  </si>
  <si>
    <t>https://drive.google.com/file/d/1N1odSeTXiXlY0AnoYLZvYMjp19o00ZiB/view?usp=drivesdk</t>
  </si>
  <si>
    <t>https://drive.google.com/uc?export=view&amp;id=1N1odSeTXiXlY0AnoYLZvYMjp19o00ZiB</t>
  </si>
  <si>
    <t>Cristal de Truenos.png</t>
  </si>
  <si>
    <t>Cristal de Truenos</t>
  </si>
  <si>
    <t>1QCFMz6gUDecfr7IQ4Tj7g7RnLHoq2IqN</t>
  </si>
  <si>
    <t>https://drive.google.com/file/d/1QCFMz6gUDecfr7IQ4Tj7g7RnLHoq2IqN/view?usp=drivesdk</t>
  </si>
  <si>
    <t>https://drive.google.com/uc?export=view&amp;id=1QCFMz6gUDecfr7IQ4Tj7g7RnLHoq2IqN</t>
  </si>
  <si>
    <t>Crítico brutal.png</t>
  </si>
  <si>
    <t>Crítico brutal</t>
  </si>
  <si>
    <t>1izWXowT81_WRZrj-W8pV2bZMxJSefxRN</t>
  </si>
  <si>
    <t>https://drive.google.com/file/d/1izWXowT81_WRZrj-W8pV2bZMxJSefxRN/view?usp=drivesdk</t>
  </si>
  <si>
    <t>https://drive.google.com/uc?export=view&amp;id=1izWXowT81_WRZrj-W8pV2bZMxJSefxRN</t>
  </si>
  <si>
    <t>Crítico Superior.png</t>
  </si>
  <si>
    <t>Crítico Superior</t>
  </si>
  <si>
    <t>14d9cOQD8FMP9H1PYX6tPzpO3z5h9LxV0</t>
  </si>
  <si>
    <t>https://drive.google.com/file/d/14d9cOQD8FMP9H1PYX6tPzpO3z5h9LxV0/view?usp=drivesdk</t>
  </si>
  <si>
    <t>https://drive.google.com/uc?export=view&amp;id=14d9cOQD8FMP9H1PYX6tPzpO3z5h9LxV0</t>
  </si>
  <si>
    <t>Crítico Superior_bw.png</t>
  </si>
  <si>
    <t>Crítico Superior bw</t>
  </si>
  <si>
    <t>1-zqSms0ju8dvKQuPCCE4Wac8old219dH</t>
  </si>
  <si>
    <t>https://drive.google.com/file/d/1-zqSms0ju8dvKQuPCCE4Wac8old219dH/view?usp=drivesdk</t>
  </si>
  <si>
    <t>https://drive.google.com/uc?export=view&amp;id=1-zqSms0ju8dvKQuPCCE4Wac8old219dH</t>
  </si>
  <si>
    <t>Cuchilla de carnicero.png</t>
  </si>
  <si>
    <t>Cuchilla de carnicero</t>
  </si>
  <si>
    <t>1ygTll700tkJp7Wc-cDijWmJuxaqS0p7H</t>
  </si>
  <si>
    <t>https://drive.google.com/file/d/1ygTll700tkJp7Wc-cDijWmJuxaqS0p7H/view?usp=drivesdk</t>
  </si>
  <si>
    <t>https://drive.google.com/uc?export=view&amp;id=1ygTll700tkJp7Wc-cDijWmJuxaqS0p7H</t>
  </si>
  <si>
    <t>Cuchillo.png</t>
  </si>
  <si>
    <t>Cuchillo</t>
  </si>
  <si>
    <t>1B4tnDfTGBPqhBr2Cw1eb5jro3xsNUNGL</t>
  </si>
  <si>
    <t>https://drive.google.com/file/d/1B4tnDfTGBPqhBr2Cw1eb5jro3xsNUNGL/view?usp=drivesdk</t>
  </si>
  <si>
    <t>https://drive.google.com/uc?export=view&amp;id=1B4tnDfTGBPqhBr2Cw1eb5jro3xsNUNGL</t>
  </si>
  <si>
    <t>Cuerda.png</t>
  </si>
  <si>
    <t>Cuerda</t>
  </si>
  <si>
    <t>1IS9j2ED1ZSBgQWT7_bZ_8RjbAGQjw64j</t>
  </si>
  <si>
    <t>https://drive.google.com/file/d/1IS9j2ED1ZSBgQWT7_bZ_8RjbAGQjw64j/view?usp=drivesdk</t>
  </si>
  <si>
    <t>https://drive.google.com/uc?export=view&amp;id=1IS9j2ED1ZSBgQWT7_bZ_8RjbAGQjw64j</t>
  </si>
  <si>
    <t>Cuerpo a Cuerpo.png</t>
  </si>
  <si>
    <t>Cuerpo a Cuerpo</t>
  </si>
  <si>
    <t>1UFCkwEfq_R1r-dgWmyafgeIGwygWAnvM</t>
  </si>
  <si>
    <t>https://drive.google.com/file/d/1UFCkwEfq_R1r-dgWmyafgeIGwygWAnvM/view?usp=drivesdk</t>
  </si>
  <si>
    <t>https://drive.google.com/uc?export=view&amp;id=1UFCkwEfq_R1r-dgWmyafgeIGwygWAnvM</t>
  </si>
  <si>
    <t>Cuerpo vacío.png</t>
  </si>
  <si>
    <t>Cuerpo vacío</t>
  </si>
  <si>
    <t>1Xidz714qCkKSdjQP3hzKGyQEgzBgo57u</t>
  </si>
  <si>
    <t>https://drive.google.com/file/d/1Xidz714qCkKSdjQP3hzKGyQEgzBgo57u/view?usp=drivesdk</t>
  </si>
  <si>
    <t>https://drive.google.com/uc?export=view&amp;id=1Xidz714qCkKSdjQP3hzKGyQEgzBgo57u</t>
  </si>
  <si>
    <t>Cuerpo vacío_bw.png</t>
  </si>
  <si>
    <t>Cuerpo vacío bw</t>
  </si>
  <si>
    <t>16sMsqGpD-MiUMg6QlM2nNZh0jkepw3XH</t>
  </si>
  <si>
    <t>https://drive.google.com/file/d/16sMsqGpD-MiUMg6QlM2nNZh0jkepw3XH/view?usp=drivesdk</t>
  </si>
  <si>
    <t>https://drive.google.com/uc?export=view&amp;id=16sMsqGpD-MiUMg6QlM2nNZh0jkepw3XH</t>
  </si>
  <si>
    <t>Daga.png</t>
  </si>
  <si>
    <t>Daga</t>
  </si>
  <si>
    <t>1ugPRy1JoZzo8pPVYorK8ZiQOaiqy3VJV</t>
  </si>
  <si>
    <t>https://drive.google.com/file/d/1ugPRy1JoZzo8pPVYorK8ZiQOaiqy3VJV/view?usp=drivesdk</t>
  </si>
  <si>
    <t>https://drive.google.com/uc?export=view&amp;id=1ugPRy1JoZzo8pPVYorK8ZiQOaiqy3VJV</t>
  </si>
  <si>
    <t>Daño Contundente.png</t>
  </si>
  <si>
    <t>Daño Contundente</t>
  </si>
  <si>
    <t>1q7alJv95lZLsTs5SK7SUiG8w7RVuPhyh</t>
  </si>
  <si>
    <t>https://drive.google.com/file/d/1q7alJv95lZLsTs5SK7SUiG8w7RVuPhyh/view?usp=drivesdk</t>
  </si>
  <si>
    <t>https://drive.google.com/uc?export=view&amp;id=1q7alJv95lZLsTs5SK7SUiG8w7RVuPhyh</t>
  </si>
  <si>
    <t>Daño Cortante.png</t>
  </si>
  <si>
    <t>Daño Cortante</t>
  </si>
  <si>
    <t>1M_OLDHd1IGQhOhIDkerQvEpeqlVKncgg</t>
  </si>
  <si>
    <t>https://drive.google.com/file/d/1M_OLDHd1IGQhOhIDkerQvEpeqlVKncgg/view?usp=drivesdk</t>
  </si>
  <si>
    <t>https://drive.google.com/uc?export=view&amp;id=1M_OLDHd1IGQhOhIDkerQvEpeqlVKncgg</t>
  </si>
  <si>
    <t>Daño Electricidad.png</t>
  </si>
  <si>
    <t>Daño Electricidad</t>
  </si>
  <si>
    <t>186pJVYWZ9Vi2qfzcq7yhemtsftRI8Lny</t>
  </si>
  <si>
    <t>https://drive.google.com/file/d/186pJVYWZ9Vi2qfzcq7yhemtsftRI8Lny/view?usp=drivesdk</t>
  </si>
  <si>
    <t>https://drive.google.com/uc?export=view&amp;id=186pJVYWZ9Vi2qfzcq7yhemtsftRI8Lny</t>
  </si>
  <si>
    <t>Daño Frio.png</t>
  </si>
  <si>
    <t>Daño Frio</t>
  </si>
  <si>
    <t>14gmnIKDIqC3M1ipIjJEL8NWaNoQuMMON</t>
  </si>
  <si>
    <t>https://drive.google.com/file/d/14gmnIKDIqC3M1ipIjJEL8NWaNoQuMMON/view?usp=drivesdk</t>
  </si>
  <si>
    <t>https://drive.google.com/uc?export=view&amp;id=14gmnIKDIqC3M1ipIjJEL8NWaNoQuMMON</t>
  </si>
  <si>
    <t>Daño Fuego.png</t>
  </si>
  <si>
    <t>Daño Fuego</t>
  </si>
  <si>
    <t>1genfc3fge5dqRVLRYQKzoNChj0S83Rgr</t>
  </si>
  <si>
    <t>https://drive.google.com/file/d/1genfc3fge5dqRVLRYQKzoNChj0S83Rgr/view?usp=drivesdk</t>
  </si>
  <si>
    <t>https://drive.google.com/uc?export=view&amp;id=1genfc3fge5dqRVLRYQKzoNChj0S83Rgr</t>
  </si>
  <si>
    <t>Daño interno.png</t>
  </si>
  <si>
    <t>Daño interno</t>
  </si>
  <si>
    <t>1wsdaVVnokvsETcwtJQQoqyPV0sYI8FDT</t>
  </si>
  <si>
    <t>https://drive.google.com/file/d/1wsdaVVnokvsETcwtJQQoqyPV0sYI8FDT/view?usp=drivesdk</t>
  </si>
  <si>
    <t>https://drive.google.com/uc?export=view&amp;id=1wsdaVVnokvsETcwtJQQoqyPV0sYI8FDT</t>
  </si>
  <si>
    <t>Daño interno_bw.png</t>
  </si>
  <si>
    <t>Daño interno bw</t>
  </si>
  <si>
    <t>1gVUWox-bbn96MVXAYKMSwGcHbu8CVjWf</t>
  </si>
  <si>
    <t>https://drive.google.com/file/d/1gVUWox-bbn96MVXAYKMSwGcHbu8CVjWf/view?usp=drivesdk</t>
  </si>
  <si>
    <t>https://drive.google.com/uc?export=view&amp;id=1gVUWox-bbn96MVXAYKMSwGcHbu8CVjWf</t>
  </si>
  <si>
    <t>Daño Perforante.png</t>
  </si>
  <si>
    <t>Daño Perforante</t>
  </si>
  <si>
    <t>1KEILrqql_KhdfXDEP0qAkXIOhP_CjgcT</t>
  </si>
  <si>
    <t>https://drive.google.com/file/d/1KEILrqql_KhdfXDEP0qAkXIOhP_CjgcT/view?usp=drivesdk</t>
  </si>
  <si>
    <t>https://drive.google.com/uc?export=view&amp;id=1KEILrqql_KhdfXDEP0qAkXIOhP_CjgcT</t>
  </si>
  <si>
    <t>Defensa inexpugnable.png</t>
  </si>
  <si>
    <t>Defensa inexpugnable</t>
  </si>
  <si>
    <t>1oMKCm9vt1nBGJR35DvbN7kMsoN2ne6kp</t>
  </si>
  <si>
    <t>https://drive.google.com/file/d/1oMKCm9vt1nBGJR35DvbN7kMsoN2ne6kp/view?usp=drivesdk</t>
  </si>
  <si>
    <t>https://drive.google.com/uc?export=view&amp;id=1oMKCm9vt1nBGJR35DvbN7kMsoN2ne6kp</t>
  </si>
  <si>
    <t>Defensa inexpugnable_bw.png</t>
  </si>
  <si>
    <t>Defensa inexpugnable bw</t>
  </si>
  <si>
    <t>19RrxusTFzeX1oRf-KbJ8YX6yqPmg3wSa</t>
  </si>
  <si>
    <t>https://drive.google.com/file/d/19RrxusTFzeX1oRf-KbJ8YX6yqPmg3wSa/view?usp=drivesdk</t>
  </si>
  <si>
    <t>https://drive.google.com/uc?export=view&amp;id=19RrxusTFzeX1oRf-KbJ8YX6yqPmg3wSa</t>
  </si>
  <si>
    <t>Defensa sin armadura.png</t>
  </si>
  <si>
    <t>Defensa sin armadura</t>
  </si>
  <si>
    <t>1VF6jOFgSDHPYxoGmk14JdPdGF3w6jlXn</t>
  </si>
  <si>
    <t>https://drive.google.com/file/d/1VF6jOFgSDHPYxoGmk14JdPdGF3w6jlXn/view?usp=drivesdk</t>
  </si>
  <si>
    <t>https://drive.google.com/uc?export=view&amp;id=1VF6jOFgSDHPYxoGmk14JdPdGF3w6jlXn</t>
  </si>
  <si>
    <t>Dejector.png</t>
  </si>
  <si>
    <t>Dejector</t>
  </si>
  <si>
    <t>19JyUnK-vB7e6o7hGo-YK9jfdlc6OB9Jc</t>
  </si>
  <si>
    <t>https://drive.google.com/file/d/19JyUnK-vB7e6o7hGo-YK9jfdlc6OB9Jc/view?usp=drivesdk</t>
  </si>
  <si>
    <t>https://drive.google.com/uc?export=view&amp;id=19JyUnK-vB7e6o7hGo-YK9jfdlc6OB9Jc</t>
  </si>
  <si>
    <t>Derribado.jpg</t>
  </si>
  <si>
    <t>Derribado</t>
  </si>
  <si>
    <t>1Z4IfvjzAdAU-smgZJA4qNnfiiNMJf0QJ</t>
  </si>
  <si>
    <t>https://drive.google.com/file/d/1Z4IfvjzAdAU-smgZJA4qNnfiiNMJf0QJ/view?usp=drivesdk</t>
  </si>
  <si>
    <t>https://drive.google.com/uc?export=view&amp;id=1Z4IfvjzAdAU-smgZJA4qNnfiiNMJf0QJ</t>
  </si>
  <si>
    <t>Derribar.png</t>
  </si>
  <si>
    <t>Derribar</t>
  </si>
  <si>
    <t>1Y4SaFH4HW53xjAJRVjIrXkcMDSj_3cNW</t>
  </si>
  <si>
    <t>https://drive.google.com/file/d/1Y4SaFH4HW53xjAJRVjIrXkcMDSj_3cNW/view?usp=drivesdk</t>
  </si>
  <si>
    <t>https://drive.google.com/uc?export=view&amp;id=1Y4SaFH4HW53xjAJRVjIrXkcMDSj_3cNW</t>
  </si>
  <si>
    <t>1pvI3bcRHrIPI3eRYaNs59WW4WGMf6qJd</t>
  </si>
  <si>
    <t>https://drive.google.com/file/d/1pvI3bcRHrIPI3eRYaNs59WW4WGMf6qJd/view?usp=drivesdk</t>
  </si>
  <si>
    <t>https://drive.google.com/uc?export=view&amp;id=1pvI3bcRHrIPI3eRYaNs59WW4WGMf6qJd</t>
  </si>
  <si>
    <t>Derribar_bw.png</t>
  </si>
  <si>
    <t>Derribar bw</t>
  </si>
  <si>
    <t>1_Hdqwh2IyIv3Kq9hJUGfHo4CiFvyWMAS</t>
  </si>
  <si>
    <t>https://drive.google.com/file/d/1_Hdqwh2IyIv3Kq9hJUGfHo4CiFvyWMAS/view?usp=drivesdk</t>
  </si>
  <si>
    <t>https://drive.google.com/uc?export=view&amp;id=1_Hdqwh2IyIv3Kq9hJUGfHo4CiFvyWMAS</t>
  </si>
  <si>
    <t>Desangrar.png</t>
  </si>
  <si>
    <t>Desangrar</t>
  </si>
  <si>
    <t>1UiejoR7J7zw4BuCvSpikNpBezt6uwKtO</t>
  </si>
  <si>
    <t>https://drive.google.com/file/d/1UiejoR7J7zw4BuCvSpikNpBezt6uwKtO/view?usp=drivesdk</t>
  </si>
  <si>
    <t>https://drive.google.com/uc?export=view&amp;id=1UiejoR7J7zw4BuCvSpikNpBezt6uwKtO</t>
  </si>
  <si>
    <t>Desarmar.png</t>
  </si>
  <si>
    <t>Desarmar</t>
  </si>
  <si>
    <t>1y5H-xoC6jsTlvndvmoUQ2C97R99e1UKS</t>
  </si>
  <si>
    <t>https://drive.google.com/file/d/1y5H-xoC6jsTlvndvmoUQ2C97R99e1UKS/view?usp=drivesdk</t>
  </si>
  <si>
    <t>https://drive.google.com/uc?export=view&amp;id=1y5H-xoC6jsTlvndvmoUQ2C97R99e1UKS</t>
  </si>
  <si>
    <t>1LbggHdDDiCS6nkK0-ea-7jKmTIzsJsGl</t>
  </si>
  <si>
    <t>https://drive.google.com/file/d/1LbggHdDDiCS6nkK0-ea-7jKmTIzsJsGl/view?usp=drivesdk</t>
  </si>
  <si>
    <t>https://drive.google.com/uc?export=view&amp;id=1LbggHdDDiCS6nkK0-ea-7jKmTIzsJsGl</t>
  </si>
  <si>
    <t>Desarmar (Cazarrecompensas).png</t>
  </si>
  <si>
    <t>Desarmar (Cazarrecompensas)</t>
  </si>
  <si>
    <t>1_HtV-kgkANXKreI88PUhv7lvmyH4WB72</t>
  </si>
  <si>
    <t>https://drive.google.com/file/d/1_HtV-kgkANXKreI88PUhv7lvmyH4WB72/view?usp=drivesdk</t>
  </si>
  <si>
    <t>https://drive.google.com/uc?export=view&amp;id=1_HtV-kgkANXKreI88PUhv7lvmyH4WB72</t>
  </si>
  <si>
    <t>Desarmar (Cazarrecompensas)_bw.png</t>
  </si>
  <si>
    <t>Desarmar (Cazarrecompensas) bw</t>
  </si>
  <si>
    <t>1h5t-P1nz2T9C08IYB1vV71nQsrMNf70p</t>
  </si>
  <si>
    <t>https://drive.google.com/file/d/1h5t-P1nz2T9C08IYB1vV71nQsrMNf70p/view?usp=drivesdk</t>
  </si>
  <si>
    <t>https://drive.google.com/uc?export=view&amp;id=1h5t-P1nz2T9C08IYB1vV71nQsrMNf70p</t>
  </si>
  <si>
    <t>Desarmar_bw.png</t>
  </si>
  <si>
    <t>Desarmar bw</t>
  </si>
  <si>
    <t>1asv7PKWKdQZ69mqJ_D0MeNl9N_YaMU43</t>
  </si>
  <si>
    <t>https://drive.google.com/file/d/1asv7PKWKdQZ69mqJ_D0MeNl9N_YaMU43/view?usp=drivesdk</t>
  </si>
  <si>
    <t>https://drive.google.com/uc?export=view&amp;id=1asv7PKWKdQZ69mqJ_D0MeNl9N_YaMU43</t>
  </si>
  <si>
    <t>Descenso.png</t>
  </si>
  <si>
    <t>Descenso</t>
  </si>
  <si>
    <t>1ptQMwM2Cm0Q6LjEU491gL2z3JxFOshbC</t>
  </si>
  <si>
    <t>https://drive.google.com/file/d/1ptQMwM2Cm0Q6LjEU491gL2z3JxFOshbC/view?usp=drivesdk</t>
  </si>
  <si>
    <t>https://drive.google.com/uc?export=view&amp;id=1ptQMwM2Cm0Q6LjEU491gL2z3JxFOshbC</t>
  </si>
  <si>
    <t>Descenso terrenal.png</t>
  </si>
  <si>
    <t>Descenso terrenal</t>
  </si>
  <si>
    <t>11oARel9zmj4XEvBSCb3QQvw5DzDrVg6O</t>
  </si>
  <si>
    <t>https://drive.google.com/file/d/11oARel9zmj4XEvBSCb3QQvw5DzDrVg6O/view?usp=drivesdk</t>
  </si>
  <si>
    <t>https://drive.google.com/uc?export=view&amp;id=11oARel9zmj4XEvBSCb3QQvw5DzDrVg6O</t>
  </si>
  <si>
    <t>Descenso terrenal_bw.png</t>
  </si>
  <si>
    <t>Descenso terrenal bw</t>
  </si>
  <si>
    <t>1jKK-PJnH3TAciOQoOQLASXgZxby2lV6I</t>
  </si>
  <si>
    <t>https://drive.google.com/file/d/1jKK-PJnH3TAciOQoOQLASXgZxby2lV6I/view?usp=drivesdk</t>
  </si>
  <si>
    <t>https://drive.google.com/uc?export=view&amp;id=1jKK-PJnH3TAciOQoOQLASXgZxby2lV6I</t>
  </si>
  <si>
    <t>Desechizo.png</t>
  </si>
  <si>
    <t>Desechizo</t>
  </si>
  <si>
    <t>1w5DvloNu3jALSB5ix57VRqSgjbSR2IKA</t>
  </si>
  <si>
    <t>https://drive.google.com/file/d/1w5DvloNu3jALSB5ix57VRqSgjbSR2IKA/view?usp=drivesdk</t>
  </si>
  <si>
    <t>https://drive.google.com/uc?export=view&amp;id=1w5DvloNu3jALSB5ix57VRqSgjbSR2IKA</t>
  </si>
  <si>
    <t>Desechizo_bw.png</t>
  </si>
  <si>
    <t>Desechizo bw</t>
  </si>
  <si>
    <t>1s785w11E70wrziTZeopqVsW3fdIxmATg</t>
  </si>
  <si>
    <t>https://drive.google.com/file/d/1s785w11E70wrziTZeopqVsW3fdIxmATg/view?usp=drivesdk</t>
  </si>
  <si>
    <t>https://drive.google.com/uc?export=view&amp;id=1s785w11E70wrziTZeopqVsW3fdIxmATg</t>
  </si>
  <si>
    <t>Despiadado.png</t>
  </si>
  <si>
    <t>Despiadado</t>
  </si>
  <si>
    <t>1PVchqvMYg41CknUKZi3UeEdMgmmcGYm4</t>
  </si>
  <si>
    <t>https://drive.google.com/file/d/1PVchqvMYg41CknUKZi3UeEdMgmmcGYm4/view?usp=drivesdk</t>
  </si>
  <si>
    <t>https://drive.google.com/uc?export=view&amp;id=1PVchqvMYg41CknUKZi3UeEdMgmmcGYm4</t>
  </si>
  <si>
    <t>Destreza.png</t>
  </si>
  <si>
    <t>Destreza</t>
  </si>
  <si>
    <t>1KYdW_CrvMdv09Bd7TJD36KPgq3h_M1DZ</t>
  </si>
  <si>
    <t>https://drive.google.com/file/d/1KYdW_CrvMdv09Bd7TJD36KPgq3h_M1DZ/view?usp=drivesdk</t>
  </si>
  <si>
    <t>https://drive.google.com/uc?export=view&amp;id=1KYdW_CrvMdv09Bd7TJD36KPgq3h_M1DZ</t>
  </si>
  <si>
    <t>Desviar Ataque.png</t>
  </si>
  <si>
    <t>Desviar Ataque</t>
  </si>
  <si>
    <t>1_9kHWEg0f9qJYeNcTuRzfy60vgnN9qJJ</t>
  </si>
  <si>
    <t>https://drive.google.com/file/d/1_9kHWEg0f9qJYeNcTuRzfy60vgnN9qJJ/view?usp=drivesdk</t>
  </si>
  <si>
    <t>https://drive.google.com/uc?export=view&amp;id=1_9kHWEg0f9qJYeNcTuRzfy60vgnN9qJJ</t>
  </si>
  <si>
    <t>Desviar Atención.png</t>
  </si>
  <si>
    <t>Desviar Atención</t>
  </si>
  <si>
    <t>1Op0GeSgkEWp1IBl2yXVd3WC__GfPwJy7</t>
  </si>
  <si>
    <t>https://drive.google.com/file/d/1Op0GeSgkEWp1IBl2yXVd3WC__GfPwJy7/view?usp=drivesdk</t>
  </si>
  <si>
    <t>https://drive.google.com/uc?export=view&amp;id=1Op0GeSgkEWp1IBl2yXVd3WC__GfPwJy7</t>
  </si>
  <si>
    <t>Desviar Atención_bw.png</t>
  </si>
  <si>
    <t>Desviar Atención bw</t>
  </si>
  <si>
    <t>1BmRwRXbyxjdQFdp16ACoCw5i5iCK3KDD</t>
  </si>
  <si>
    <t>https://drive.google.com/file/d/1BmRwRXbyxjdQFdp16ACoCw5i5iCK3KDD/view?usp=drivesdk</t>
  </si>
  <si>
    <t>https://drive.google.com/uc?export=view&amp;id=1BmRwRXbyxjdQFdp16ACoCw5i5iCK3KDD</t>
  </si>
  <si>
    <t>Detectar el peligro.png</t>
  </si>
  <si>
    <t>Detectar el peligro</t>
  </si>
  <si>
    <t>1FY9SVbUFGWGmI7LXTicKA36qSx2XLr5d</t>
  </si>
  <si>
    <t>https://drive.google.com/file/d/1FY9SVbUFGWGmI7LXTicKA36qSx2XLr5d/view?usp=drivesdk</t>
  </si>
  <si>
    <t>https://drive.google.com/uc?export=view&amp;id=1FY9SVbUFGWGmI7LXTicKA36qSx2XLr5d</t>
  </si>
  <si>
    <t>Detectar el peligro_bw.png</t>
  </si>
  <si>
    <t>Detectar el peligro bw</t>
  </si>
  <si>
    <t>1TLfl0zSHsGAqd2OnNy5MtDI9ISQqkQfZ</t>
  </si>
  <si>
    <t>https://drive.google.com/file/d/1TLfl0zSHsGAqd2OnNy5MtDI9ISQqkQfZ/view?usp=drivesdk</t>
  </si>
  <si>
    <t>https://drive.google.com/uc?export=view&amp;id=1TLfl0zSHsGAqd2OnNy5MtDI9ISQqkQfZ</t>
  </si>
  <si>
    <t>Detectar magia.png</t>
  </si>
  <si>
    <t>Detectar magia</t>
  </si>
  <si>
    <t>1My94QGCKFu82n5Xr2wFgWygSIDRJbfZ-</t>
  </si>
  <si>
    <t>https://drive.google.com/file/d/1My94QGCKFu82n5Xr2wFgWygSIDRJbfZ-/view?usp=drivesdk</t>
  </si>
  <si>
    <t>https://drive.google.com/uc?export=view&amp;id=1My94QGCKFu82n5Xr2wFgWygSIDRJbfZ-</t>
  </si>
  <si>
    <t>Detectar magia_bw.png</t>
  </si>
  <si>
    <t>Detectar magia bw</t>
  </si>
  <si>
    <t>1Xi6a_fqvrvDqOtuq6Pjb-6KnLeZVA9F5</t>
  </si>
  <si>
    <t>https://drive.google.com/file/d/1Xi6a_fqvrvDqOtuq6Pjb-6KnLeZVA9F5/view?usp=drivesdk</t>
  </si>
  <si>
    <t>https://drive.google.com/uc?export=view&amp;id=1Xi6a_fqvrvDqOtuq6Pjb-6KnLeZVA9F5</t>
  </si>
  <si>
    <t>Detectar pensamientos.png</t>
  </si>
  <si>
    <t>Detectar pensamientos</t>
  </si>
  <si>
    <t>1gsCR93M4y67MQxIGtyOTSLSVcyY9cK-Y</t>
  </si>
  <si>
    <t>https://drive.google.com/file/d/1gsCR93M4y67MQxIGtyOTSLSVcyY9cK-Y/view?usp=drivesdk</t>
  </si>
  <si>
    <t>https://drive.google.com/uc?export=view&amp;id=1gsCR93M4y67MQxIGtyOTSLSVcyY9cK-Y</t>
  </si>
  <si>
    <t>Detectar pensamientos_bw.png</t>
  </si>
  <si>
    <t>Detectar pensamientos bw</t>
  </si>
  <si>
    <t>16UdKB-O5YsHovIYPoHxmVrqekaAcm3Ic</t>
  </si>
  <si>
    <t>https://drive.google.com/file/d/16UdKB-O5YsHovIYPoHxmVrqekaAcm3Ic/view?usp=drivesdk</t>
  </si>
  <si>
    <t>https://drive.google.com/uc?export=view&amp;id=16UdKB-O5YsHovIYPoHxmVrqekaAcm3Ic</t>
  </si>
  <si>
    <t>Digestión Primitiva.png</t>
  </si>
  <si>
    <t>Digestión Primitiva</t>
  </si>
  <si>
    <t>1QICv_RgN90ctklZ2MF1EJgIDepxnG8q9</t>
  </si>
  <si>
    <t>https://drive.google.com/file/d/1QICv_RgN90ctklZ2MF1EJgIDepxnG8q9/view?usp=drivesdk</t>
  </si>
  <si>
    <t>https://drive.google.com/uc?export=view&amp;id=1QICv_RgN90ctklZ2MF1EJgIDepxnG8q9</t>
  </si>
  <si>
    <t>Discordancia.png</t>
  </si>
  <si>
    <t>Discordancia</t>
  </si>
  <si>
    <t>1ctRCzlT1yksYR4d3I7xwWh1HCAlQA__Y</t>
  </si>
  <si>
    <t>https://drive.google.com/file/d/1ctRCzlT1yksYR4d3I7xwWh1HCAlQA__Y/view?usp=drivesdk</t>
  </si>
  <si>
    <t>https://drive.google.com/uc?export=view&amp;id=1ctRCzlT1yksYR4d3I7xwWh1HCAlQA__Y</t>
  </si>
  <si>
    <t>Disfraz.png</t>
  </si>
  <si>
    <t>Disfraz</t>
  </si>
  <si>
    <t>1ABuTuePnFkxqTqjFhHv5-U5b58RuUDsC</t>
  </si>
  <si>
    <t>https://drive.google.com/file/d/1ABuTuePnFkxqTqjFhHv5-U5b58RuUDsC/view?usp=drivesdk</t>
  </si>
  <si>
    <t>https://drive.google.com/uc?export=view&amp;id=1ABuTuePnFkxqTqjFhHv5-U5b58RuUDsC</t>
  </si>
  <si>
    <t>Disfraz_bw.png</t>
  </si>
  <si>
    <t>Disfraz bw</t>
  </si>
  <si>
    <t>13sB-aSPZaj1opZbQuXPwzuei7FQlkzEI</t>
  </si>
  <si>
    <t>https://drive.google.com/file/d/13sB-aSPZaj1opZbQuXPwzuei7FQlkzEI/view?usp=drivesdk</t>
  </si>
  <si>
    <t>https://drive.google.com/uc?export=view&amp;id=13sB-aSPZaj1opZbQuXPwzuei7FQlkzEI</t>
  </si>
  <si>
    <t>Disparo crítico.png</t>
  </si>
  <si>
    <t>Disparo crítico</t>
  </si>
  <si>
    <t>1qCvJe-yawOft6hrAanTMOaPDGS1FeCt7</t>
  </si>
  <si>
    <t>https://drive.google.com/file/d/1qCvJe-yawOft6hrAanTMOaPDGS1FeCt7/view?usp=drivesdk</t>
  </si>
  <si>
    <t>https://drive.google.com/uc?export=view&amp;id=1qCvJe-yawOft6hrAanTMOaPDGS1FeCt7</t>
  </si>
  <si>
    <t>Disparo crítico_bw.png</t>
  </si>
  <si>
    <t>Disparo crítico bw</t>
  </si>
  <si>
    <t>1JLxVBC3pGuw9xkkep_LDs07BAzZGnT95</t>
  </si>
  <si>
    <t>https://drive.google.com/file/d/1JLxVBC3pGuw9xkkep_LDs07BAzZGnT95/view?usp=drivesdk</t>
  </si>
  <si>
    <t>https://drive.google.com/uc?export=view&amp;id=1JLxVBC3pGuw9xkkep_LDs07BAzZGnT95</t>
  </si>
  <si>
    <t>Disparo Serpenteante.png</t>
  </si>
  <si>
    <t>Disparo Serpenteante</t>
  </si>
  <si>
    <t>1JvqDTPttxuu-XqahkI9ioHCYq_YaCy_e</t>
  </si>
  <si>
    <t>https://drive.google.com/file/d/1JvqDTPttxuu-XqahkI9ioHCYq_YaCy_e/view?usp=drivesdk</t>
  </si>
  <si>
    <t>https://drive.google.com/uc?export=view&amp;id=1JvqDTPttxuu-XqahkI9ioHCYq_YaCy_e</t>
  </si>
  <si>
    <t>Distancia.png</t>
  </si>
  <si>
    <t>Distancia</t>
  </si>
  <si>
    <t>1b1scoCwqwlzqjsWaQkMEAFSz0f51Y8dk</t>
  </si>
  <si>
    <t>https://drive.google.com/file/d/1b1scoCwqwlzqjsWaQkMEAFSz0f51Y8dk/view?usp=drivesdk</t>
  </si>
  <si>
    <t>https://drive.google.com/uc?export=view&amp;id=1b1scoCwqwlzqjsWaQkMEAFSz0f51Y8dk</t>
  </si>
  <si>
    <t>Divino patrono.png</t>
  </si>
  <si>
    <t>Divino patrono</t>
  </si>
  <si>
    <t>1dcbU3CSFKGah0lr3LriFY8DCHjCN7Gd3</t>
  </si>
  <si>
    <t>https://drive.google.com/file/d/1dcbU3CSFKGah0lr3LriFY8DCHjCN7Gd3/view?usp=drivesdk</t>
  </si>
  <si>
    <t>https://drive.google.com/uc?export=view&amp;id=1dcbU3CSFKGah0lr3LriFY8DCHjCN7Gd3</t>
  </si>
  <si>
    <t>Doble Ataque.png</t>
  </si>
  <si>
    <t>Doble Ataque</t>
  </si>
  <si>
    <t>1vl6YSR2F3Xchvrfcs0mzFbbl7pkGqI_3</t>
  </si>
  <si>
    <t>https://drive.google.com/file/d/1vl6YSR2F3Xchvrfcs0mzFbbl7pkGqI_3/view?usp=drivesdk</t>
  </si>
  <si>
    <t>https://drive.google.com/uc?export=view&amp;id=1vl6YSR2F3Xchvrfcs0mzFbbl7pkGqI_3</t>
  </si>
  <si>
    <t>Dolor.png</t>
  </si>
  <si>
    <t>Dolor</t>
  </si>
  <si>
    <t>1pU7sp9L9-AGVDp4wFiFrLnvacjUIJj_f</t>
  </si>
  <si>
    <t>https://drive.google.com/file/d/1pU7sp9L9-AGVDp4wFiFrLnvacjUIJj_f/view?usp=drivesdk</t>
  </si>
  <si>
    <t>https://drive.google.com/uc?export=view&amp;id=1pU7sp9L9-AGVDp4wFiFrLnvacjUIJj_f</t>
  </si>
  <si>
    <t>Domar bestia.png</t>
  </si>
  <si>
    <t>Domar bestia</t>
  </si>
  <si>
    <t>1x8UBJLHzPYBptwDNZnFilWbLG8Zr9cdl</t>
  </si>
  <si>
    <t>https://drive.google.com/file/d/1x8UBJLHzPYBptwDNZnFilWbLG8Zr9cdl/view?usp=drivesdk</t>
  </si>
  <si>
    <t>https://drive.google.com/uc?export=view&amp;id=1x8UBJLHzPYBptwDNZnFilWbLG8Zr9cdl</t>
  </si>
  <si>
    <t>Dominio total del campo de batalla.png</t>
  </si>
  <si>
    <t>Dominio total del campo de batalla</t>
  </si>
  <si>
    <t>10GvJq-OG1CwL1dHSSEIUVShhX_U2_5sg</t>
  </si>
  <si>
    <t>https://drive.google.com/file/d/10GvJq-OG1CwL1dHSSEIUVShhX_U2_5sg/view?usp=drivesdk</t>
  </si>
  <si>
    <t>https://drive.google.com/uc?export=view&amp;id=10GvJq-OG1CwL1dHSSEIUVShhX_U2_5sg</t>
  </si>
  <si>
    <t>Dormir.jpg</t>
  </si>
  <si>
    <t>Dormir</t>
  </si>
  <si>
    <t>16PZBm1mOZGrVlAqd6HSxVgSx4kgkHZj3</t>
  </si>
  <si>
    <t>https://drive.google.com/file/d/16PZBm1mOZGrVlAqd6HSxVgSx4kgkHZj3/view?usp=drivesdk</t>
  </si>
  <si>
    <t>https://drive.google.com/uc?export=view&amp;id=16PZBm1mOZGrVlAqd6HSxVgSx4kgkHZj3</t>
  </si>
  <si>
    <t>Drokka hembra para selección de personaje.png</t>
  </si>
  <si>
    <t>Drokka hembra para selección de personaje</t>
  </si>
  <si>
    <t>1L504IVZeSHJ3oht3phYJlt7vTloc0cYr</t>
  </si>
  <si>
    <t>https://drive.google.com/file/d/1L504IVZeSHJ3oht3phYJlt7vTloc0cYr/view?usp=drivesdk</t>
  </si>
  <si>
    <t>https://drive.google.com/uc?export=view&amp;id=1L504IVZeSHJ3oht3phYJlt7vTloc0cYr</t>
  </si>
  <si>
    <t>DROKKA_MASCULINO.png</t>
  </si>
  <si>
    <t>DROKKA MASCULINO</t>
  </si>
  <si>
    <t>12-Q2ofpS0A_lnOeVc-YakL-ikKlGxhTq</t>
  </si>
  <si>
    <t>https://drive.google.com/file/d/12-Q2ofpS0A_lnOeVc-YakL-ikKlGxhTq/view?usp=drivesdk</t>
  </si>
  <si>
    <t>https://drive.google.com/uc?export=view&amp;id=12-Q2ofpS0A_lnOeVc-YakL-ikKlGxhTq</t>
  </si>
  <si>
    <t>Druídico.png</t>
  </si>
  <si>
    <t>Druídico</t>
  </si>
  <si>
    <t>1wi9NU8jCVZeXiq34-9mtm0p2h506lZAY</t>
  </si>
  <si>
    <t>https://drive.google.com/file/d/1wi9NU8jCVZeXiq34-9mtm0p2h506lZAY/view?usp=drivesdk</t>
  </si>
  <si>
    <t>https://drive.google.com/uc?export=view&amp;id=1wi9NU8jCVZeXiq34-9mtm0p2h506lZAY</t>
  </si>
  <si>
    <t>Ducal.png</t>
  </si>
  <si>
    <t>Ducal</t>
  </si>
  <si>
    <t>11IejIAgsM2OTax1PGBrQleilIs-3tqML</t>
  </si>
  <si>
    <t>https://drive.google.com/file/d/11IejIAgsM2OTax1PGBrQleilIs-3tqML/view?usp=drivesdk</t>
  </si>
  <si>
    <t>https://drive.google.com/uc?export=view&amp;id=11IejIAgsM2OTax1PGBrQleilIs-3tqML</t>
  </si>
  <si>
    <t>Duergar.png</t>
  </si>
  <si>
    <t>Duergar</t>
  </si>
  <si>
    <t>1Rg0iap8i02C7mtvWv8QqsyttKkFbHvfh</t>
  </si>
  <si>
    <t>https://drive.google.com/file/d/1Rg0iap8i02C7mtvWv8QqsyttKkFbHvfh/view?usp=drivesdk</t>
  </si>
  <si>
    <t>https://drive.google.com/uc?export=view&amp;id=1Rg0iap8i02C7mtvWv8QqsyttKkFbHvfh</t>
  </si>
  <si>
    <t>Íconos de Razas</t>
  </si>
  <si>
    <t>1w9hHhZQGNKwJG33n0qtzdwAtQYx7CS6s</t>
  </si>
  <si>
    <t>Ejecutor.png</t>
  </si>
  <si>
    <t>Ejecutor</t>
  </si>
  <si>
    <t>1LcmC2hdw-BoNlSbEo1cOROVeF3lGgs7X</t>
  </si>
  <si>
    <t>https://drive.google.com/file/d/1LcmC2hdw-BoNlSbEo1cOROVeF3lGgs7X/view?usp=drivesdk</t>
  </si>
  <si>
    <t>https://drive.google.com/uc?export=view&amp;id=1LcmC2hdw-BoNlSbEo1cOROVeF3lGgs7X</t>
  </si>
  <si>
    <t>Ejecutor femenino.png</t>
  </si>
  <si>
    <t>Ejecutor femenino</t>
  </si>
  <si>
    <t>1xXLWT_G4vY71QZfhvXlCtPfqCQ3PIzwF</t>
  </si>
  <si>
    <t>https://drive.google.com/file/d/1xXLWT_G4vY71QZfhvXlCtPfqCQ3PIzwF/view?usp=drivesdk</t>
  </si>
  <si>
    <t>https://drive.google.com/uc?export=view&amp;id=1xXLWT_G4vY71QZfhvXlCtPfqCQ3PIzwF</t>
  </si>
  <si>
    <t>Ejecutor Masculino.png</t>
  </si>
  <si>
    <t>Ejecutor Masculino</t>
  </si>
  <si>
    <t>1YJJfUA2sTBg5iPDbj-W0L2Iuzjjvdmyv</t>
  </si>
  <si>
    <t>https://drive.google.com/file/d/1YJJfUA2sTBg5iPDbj-W0L2Iuzjjvdmyv/view?usp=drivesdk</t>
  </si>
  <si>
    <t>https://drive.google.com/uc?export=view&amp;id=1YJJfUA2sTBg5iPDbj-W0L2Iuzjjvdmyv</t>
  </si>
  <si>
    <t>El camino del puño.png</t>
  </si>
  <si>
    <t>El camino del puño</t>
  </si>
  <si>
    <t>1FJ-epfRW1VgI7KcRcvTr5InVpsSbgvpw</t>
  </si>
  <si>
    <t>https://drive.google.com/file/d/1FJ-epfRW1VgI7KcRcvTr5InVpsSbgvpw/view?usp=drivesdk</t>
  </si>
  <si>
    <t>https://drive.google.com/uc?export=view&amp;id=1FJ-epfRW1VgI7KcRcvTr5InVpsSbgvpw</t>
  </si>
  <si>
    <t>El juicio de lo salvaje.png</t>
  </si>
  <si>
    <t>El juicio de lo salvaje</t>
  </si>
  <si>
    <t>1GAHHs4Af4YiXssYXWMFTRBBgwkDBiM8Z</t>
  </si>
  <si>
    <t>https://drive.google.com/file/d/1GAHHs4Af4YiXssYXWMFTRBBgwkDBiM8Z/view?usp=drivesdk</t>
  </si>
  <si>
    <t>https://drive.google.com/uc?export=view&amp;id=1GAHHs4Af4YiXssYXWMFTRBBgwkDBiM8Z</t>
  </si>
  <si>
    <t>El Llamado de los Clanes.png</t>
  </si>
  <si>
    <t>El Llamado de los Clanes</t>
  </si>
  <si>
    <t>16TU-djcWeUVUhYzJdO0Z-WGPnyRgLsof</t>
  </si>
  <si>
    <t>https://drive.google.com/file/d/16TU-djcWeUVUhYzJdO0Z-WGPnyRgLsof/view?usp=drivesdk</t>
  </si>
  <si>
    <t>https://drive.google.com/uc?export=view&amp;id=16TU-djcWeUVUhYzJdO0Z-WGPnyRgLsof</t>
  </si>
  <si>
    <t>El Pulso del Dragón.png</t>
  </si>
  <si>
    <t>El Pulso del Dragón</t>
  </si>
  <si>
    <t>1CrYMCxhEn3KG6PrpzLwaUY36x0qE2SgD</t>
  </si>
  <si>
    <t>https://drive.google.com/file/d/1CrYMCxhEn3KG6PrpzLwaUY36x0qE2SgD/view?usp=drivesdk</t>
  </si>
  <si>
    <t>https://drive.google.com/uc?export=view&amp;id=1CrYMCxhEn3KG6PrpzLwaUY36x0qE2SgD</t>
  </si>
  <si>
    <t>Elfihim Mestizo Lunar.png</t>
  </si>
  <si>
    <t>Elfihim Mestizo Lunar</t>
  </si>
  <si>
    <t>1IAESLMh30pDvUoYUVrzAqdekocbi2fn_</t>
  </si>
  <si>
    <t>https://drive.google.com/file/d/1IAESLMh30pDvUoYUVrzAqdekocbi2fn_/view?usp=drivesdk</t>
  </si>
  <si>
    <t>https://drive.google.com/uc?export=view&amp;id=1IAESLMh30pDvUoYUVrzAqdekocbi2fn_</t>
  </si>
  <si>
    <t>Elfihim Mestizo Solar.png</t>
  </si>
  <si>
    <t>Elfihim Mestizo Solar</t>
  </si>
  <si>
    <t>13KO_ulO_xASKRsGhnDXleYu26LyKXeyY</t>
  </si>
  <si>
    <t>https://drive.google.com/file/d/13KO_ulO_xASKRsGhnDXleYu26LyKXeyY/view?usp=drivesdk</t>
  </si>
  <si>
    <t>https://drive.google.com/uc?export=view&amp;id=13KO_ulO_xASKRsGhnDXleYu26LyKXeyY</t>
  </si>
  <si>
    <t>Elfihim Solar.png</t>
  </si>
  <si>
    <t>Elfihim Solar</t>
  </si>
  <si>
    <t>1egqDPjqGQ8I2XNfddbYVJXZUhGd6wTaw</t>
  </si>
  <si>
    <t>https://drive.google.com/file/d/1egqDPjqGQ8I2XNfddbYVJXZUhGd6wTaw/view?usp=drivesdk</t>
  </si>
  <si>
    <t>https://drive.google.com/uc?export=view&amp;id=1egqDPjqGQ8I2XNfddbYVJXZUhGd6wTaw</t>
  </si>
  <si>
    <t>Elixir del descanso.png</t>
  </si>
  <si>
    <t>Elixir del descanso</t>
  </si>
  <si>
    <t>1uKpJjAMX_WKjc3YRqVsh8ZDhrZ3leF4T</t>
  </si>
  <si>
    <t>https://drive.google.com/file/d/1uKpJjAMX_WKjc3YRqVsh8ZDhrZ3leF4T/view?usp=drivesdk</t>
  </si>
  <si>
    <t>https://drive.google.com/uc?export=view&amp;id=1uKpJjAMX_WKjc3YRqVsh8ZDhrZ3leF4T</t>
  </si>
  <si>
    <t>Elixir del veneno puro.png</t>
  </si>
  <si>
    <t>Elixir del veneno puro</t>
  </si>
  <si>
    <t>16slSLceklYwvw_SeQ-2XULmJCVECOyVd</t>
  </si>
  <si>
    <t>https://drive.google.com/file/d/16slSLceklYwvw_SeQ-2XULmJCVECOyVd/view?usp=drivesdk</t>
  </si>
  <si>
    <t>https://drive.google.com/uc?export=view&amp;id=16slSLceklYwvw_SeQ-2XULmJCVECOyVd</t>
  </si>
  <si>
    <t>Embestida.png</t>
  </si>
  <si>
    <t>Embestida</t>
  </si>
  <si>
    <t>1HWUGrOg-WaT7MrdRcTMD4wxGWij3ozZf</t>
  </si>
  <si>
    <t>https://drive.google.com/file/d/1HWUGrOg-WaT7MrdRcTMD4wxGWij3ozZf/view?usp=drivesdk</t>
  </si>
  <si>
    <t>https://drive.google.com/uc?export=view&amp;id=1HWUGrOg-WaT7MrdRcTMD4wxGWij3ozZf</t>
  </si>
  <si>
    <t>Embestida_bw.png</t>
  </si>
  <si>
    <t>Embestida bw</t>
  </si>
  <si>
    <t>1EIhYg3bJTdhWquIWWs18JmuBOB0pFA3l</t>
  </si>
  <si>
    <t>https://drive.google.com/file/d/1EIhYg3bJTdhWquIWWs18JmuBOB0pFA3l/view?usp=drivesdk</t>
  </si>
  <si>
    <t>https://drive.google.com/uc?export=view&amp;id=1EIhYg3bJTdhWquIWWs18JmuBOB0pFA3l</t>
  </si>
  <si>
    <t>Encantamiento.png</t>
  </si>
  <si>
    <t>Encantamiento</t>
  </si>
  <si>
    <t>1ViGJuzaGgy81R4QjR9fs0JTqpLKGXVh2</t>
  </si>
  <si>
    <t>https://drive.google.com/file/d/1ViGJuzaGgy81R4QjR9fs0JTqpLKGXVh2/view?usp=drivesdk</t>
  </si>
  <si>
    <t>https://drive.google.com/uc?export=view&amp;id=1ViGJuzaGgy81R4QjR9fs0JTqpLKGXVh2</t>
  </si>
  <si>
    <t>Encantar bestia.png</t>
  </si>
  <si>
    <t>Encantar bestia</t>
  </si>
  <si>
    <t>1mx_BFLcyEn1Ds5AwnffsyuhYbCctnECp</t>
  </si>
  <si>
    <t>https://drive.google.com/file/d/1mx_BFLcyEn1Ds5AwnffsyuhYbCctnECp/view?usp=drivesdk</t>
  </si>
  <si>
    <t>https://drive.google.com/uc?export=view&amp;id=1mx_BFLcyEn1Ds5AwnffsyuhYbCctnECp</t>
  </si>
  <si>
    <t>Encantar bestia_bw.png</t>
  </si>
  <si>
    <t>Encantar bestia bw</t>
  </si>
  <si>
    <t>18ZJIw3NvvBpJmHK2FPoVIsGF6ccdSEvq</t>
  </si>
  <si>
    <t>https://drive.google.com/file/d/18ZJIw3NvvBpJmHK2FPoVIsGF6ccdSEvq/view?usp=drivesdk</t>
  </si>
  <si>
    <t>https://drive.google.com/uc?export=view&amp;id=18ZJIw3NvvBpJmHK2FPoVIsGF6ccdSEvq</t>
  </si>
  <si>
    <t>Enemigo predilecto.png</t>
  </si>
  <si>
    <t>Enemigo predilecto</t>
  </si>
  <si>
    <t>1o2P_AeTEf6dmtHlG_O-SSDudkyxq-Qts</t>
  </si>
  <si>
    <t>https://drive.google.com/file/d/1o2P_AeTEf6dmtHlG_O-SSDudkyxq-Qts/view?usp=drivesdk</t>
  </si>
  <si>
    <t>https://drive.google.com/uc?export=view&amp;id=1o2P_AeTEf6dmtHlG_O-SSDudkyxq-Qts</t>
  </si>
  <si>
    <t>Enfoque del arquero.png</t>
  </si>
  <si>
    <t>Enfoque del arquero</t>
  </si>
  <si>
    <t>1U1n6ol2gBpJujNiuYvL1MXd96C3NmL8E</t>
  </si>
  <si>
    <t>https://drive.google.com/file/d/1U1n6ol2gBpJujNiuYvL1MXd96C3NmL8E/view?usp=drivesdk</t>
  </si>
  <si>
    <t>https://drive.google.com/uc?export=view&amp;id=1U1n6ol2gBpJujNiuYvL1MXd96C3NmL8E</t>
  </si>
  <si>
    <t>Enfoque del arquero_bw.png</t>
  </si>
  <si>
    <t>Enfoque del arquero bw</t>
  </si>
  <si>
    <t>1nrQQaPO7-UGkPuqMlf7zwX8qbaofD7dV</t>
  </si>
  <si>
    <t>https://drive.google.com/file/d/1nrQQaPO7-UGkPuqMlf7zwX8qbaofD7dV/view?usp=drivesdk</t>
  </si>
  <si>
    <t>https://drive.google.com/uc?export=view&amp;id=1nrQQaPO7-UGkPuqMlf7zwX8qbaofD7dV</t>
  </si>
  <si>
    <t>Enfoque del cazador.png</t>
  </si>
  <si>
    <t>Enfoque del cazador</t>
  </si>
  <si>
    <t>1PDAT0LdOtNawScX_IrU-vMeHPstu2l_e</t>
  </si>
  <si>
    <t>https://drive.google.com/file/d/1PDAT0LdOtNawScX_IrU-vMeHPstu2l_e/view?usp=drivesdk</t>
  </si>
  <si>
    <t>https://drive.google.com/uc?export=view&amp;id=1PDAT0LdOtNawScX_IrU-vMeHPstu2l_e</t>
  </si>
  <si>
    <t>Enfoque del cazador_bw.png</t>
  </si>
  <si>
    <t>Enfoque del cazador bw</t>
  </si>
  <si>
    <t>1ZGu4YxvzV-R7MeCV-EAawHC61l5mIIhQ</t>
  </si>
  <si>
    <t>https://drive.google.com/file/d/1ZGu4YxvzV-R7MeCV-EAawHC61l5mIIhQ/view?usp=drivesdk</t>
  </si>
  <si>
    <t>https://drive.google.com/uc?export=view&amp;id=1ZGu4YxvzV-R7MeCV-EAawHC61l5mIIhQ</t>
  </si>
  <si>
    <t>Enfoque del hechicero.png</t>
  </si>
  <si>
    <t>Enfoque del hechicero</t>
  </si>
  <si>
    <t>1VEFnlPWN-OXeuKl6YElSHSBU4uUH0lBs</t>
  </si>
  <si>
    <t>https://drive.google.com/file/d/1VEFnlPWN-OXeuKl6YElSHSBU4uUH0lBs/view?usp=drivesdk</t>
  </si>
  <si>
    <t>https://drive.google.com/uc?export=view&amp;id=1VEFnlPWN-OXeuKl6YElSHSBU4uUH0lBs</t>
  </si>
  <si>
    <t>Enmarañar.jpg</t>
  </si>
  <si>
    <t>Enmarañar</t>
  </si>
  <si>
    <t>1D2tAoe9g2rX9jWryido_KT1JCZ0RAw-S</t>
  </si>
  <si>
    <t>https://drive.google.com/file/d/1D2tAoe9g2rX9jWryido_KT1JCZ0RAw-S/view?usp=drivesdk</t>
  </si>
  <si>
    <t>https://drive.google.com/uc?export=view&amp;id=1D2tAoe9g2rX9jWryido_KT1JCZ0RAw-S</t>
  </si>
  <si>
    <t>Enmarañar_bw.jpg</t>
  </si>
  <si>
    <t>Enmarañar bw</t>
  </si>
  <si>
    <t>1AcaHQy-2weYGCZH_jJEk0ZhnZvE1SgW2</t>
  </si>
  <si>
    <t>https://drive.google.com/file/d/1AcaHQy-2weYGCZH_jJEk0ZhnZvE1SgW2/view?usp=drivesdk</t>
  </si>
  <si>
    <t>https://drive.google.com/uc?export=view&amp;id=1AcaHQy-2weYGCZH_jJEk0ZhnZvE1SgW2</t>
  </si>
  <si>
    <t>Ensordecido.jpg</t>
  </si>
  <si>
    <t>Ensordecido</t>
  </si>
  <si>
    <t>1EI8HcVO-oDsMxs4SadpOxbWhIp5z0v3J</t>
  </si>
  <si>
    <t>https://drive.google.com/file/d/1EI8HcVO-oDsMxs4SadpOxbWhIp5z0v3J/view?usp=drivesdk</t>
  </si>
  <si>
    <t>https://drive.google.com/uc?export=view&amp;id=1EI8HcVO-oDsMxs4SadpOxbWhIp5z0v3J</t>
  </si>
  <si>
    <t>Envenenado.jpg</t>
  </si>
  <si>
    <t>Envenenado</t>
  </si>
  <si>
    <t>1D5RjDRNHZ7gnqLlflzIZebMMmJMzHJRd</t>
  </si>
  <si>
    <t>https://drive.google.com/file/d/1D5RjDRNHZ7gnqLlflzIZebMMmJMzHJRd/view?usp=drivesdk</t>
  </si>
  <si>
    <t>https://drive.google.com/uc?export=view&amp;id=1D5RjDRNHZ7gnqLlflzIZebMMmJMzHJRd</t>
  </si>
  <si>
    <t>Escudo de Cometa.png</t>
  </si>
  <si>
    <t>Escudo de Cometa</t>
  </si>
  <si>
    <t>18xMHHKF_ulWOADKt-Ceo5xQuhxJIN9YA</t>
  </si>
  <si>
    <t>https://drive.google.com/file/d/18xMHHKF_ulWOADKt-Ceo5xQuhxJIN9YA/view?usp=drivesdk</t>
  </si>
  <si>
    <t>https://drive.google.com/uc?export=view&amp;id=18xMHHKF_ulWOADKt-Ceo5xQuhxJIN9YA</t>
  </si>
  <si>
    <t>Escudo de cuero.png</t>
  </si>
  <si>
    <t>Escudo de cuero</t>
  </si>
  <si>
    <t>1TDALzyQmFJJxTZjPSZWQ1NMCVNVMhIZ0</t>
  </si>
  <si>
    <t>https://drive.google.com/file/d/1TDALzyQmFJJxTZjPSZWQ1NMCVNVMhIZ0/view?usp=drivesdk</t>
  </si>
  <si>
    <t>https://drive.google.com/uc?export=view&amp;id=1TDALzyQmFJJxTZjPSZWQ1NMCVNVMhIZ0</t>
  </si>
  <si>
    <t>Escudo de fe.png</t>
  </si>
  <si>
    <t>Escudo de fe</t>
  </si>
  <si>
    <t>1uLjilIx4xYlT6kLWytGiRwb2eMKwscUv</t>
  </si>
  <si>
    <t>https://drive.google.com/file/d/1uLjilIx4xYlT6kLWytGiRwb2eMKwscUv/view?usp=drivesdk</t>
  </si>
  <si>
    <t>https://drive.google.com/uc?export=view&amp;id=1uLjilIx4xYlT6kLWytGiRwb2eMKwscUv</t>
  </si>
  <si>
    <t>Escudo de fe_bw.png</t>
  </si>
  <si>
    <t>Escudo de fe bw</t>
  </si>
  <si>
    <t>1yCRqhMwHdTv5x-vePCcOs0xW4KMUH1KX</t>
  </si>
  <si>
    <t>https://drive.google.com/file/d/1yCRqhMwHdTv5x-vePCcOs0xW4KMUH1KX/view?usp=drivesdk</t>
  </si>
  <si>
    <t>https://drive.google.com/uc?export=view&amp;id=1yCRqhMwHdTv5x-vePCcOs0xW4KMUH1KX</t>
  </si>
  <si>
    <t>Escudo de la torre.png</t>
  </si>
  <si>
    <t>Escudo de la torre</t>
  </si>
  <si>
    <t>14DgTKDEiLRrSdLvgwMb6w47ctYJrcOWk</t>
  </si>
  <si>
    <t>https://drive.google.com/file/d/14DgTKDEiLRrSdLvgwMb6w47ctYJrcOWk/view?usp=drivesdk</t>
  </si>
  <si>
    <t>https://drive.google.com/uc?export=view&amp;id=14DgTKDEiLRrSdLvgwMb6w47ctYJrcOWk</t>
  </si>
  <si>
    <t>Escudo nocturno.png</t>
  </si>
  <si>
    <t>Escudo nocturno</t>
  </si>
  <si>
    <t>1VNxdJk_K_3-3Ebp0M8vLsOir_YvPU9AP</t>
  </si>
  <si>
    <t>https://drive.google.com/file/d/1VNxdJk_K_3-3Ebp0M8vLsOir_YvPU9AP/view?usp=drivesdk</t>
  </si>
  <si>
    <t>https://drive.google.com/uc?export=view&amp;id=1VNxdJk_K_3-3Ebp0M8vLsOir_YvPU9AP</t>
  </si>
  <si>
    <t>Escudo nocturno_bw.png</t>
  </si>
  <si>
    <t>Escudo nocturno bw</t>
  </si>
  <si>
    <t>1SBH4sQg_fLYQsBOYxhHHLYZU5GdzP--j</t>
  </si>
  <si>
    <t>https://drive.google.com/file/d/1SBH4sQg_fLYQsBOYxhHHLYZU5GdzP--j/view?usp=drivesdk</t>
  </si>
  <si>
    <t>https://drive.google.com/uc?export=view&amp;id=1SBH4sQg_fLYQsBOYxhHHLYZU5GdzP--j</t>
  </si>
  <si>
    <t>Escudo Redondo de Madera.png</t>
  </si>
  <si>
    <t>Escudo Redondo de Madera</t>
  </si>
  <si>
    <t>1MxlUxnhmA18-VOdFdEiGr52brFHKcmj0</t>
  </si>
  <si>
    <t>https://drive.google.com/file/d/1MxlUxnhmA18-VOdFdEiGr52brFHKcmj0/view?usp=drivesdk</t>
  </si>
  <si>
    <t>https://drive.google.com/uc?export=view&amp;id=1MxlUxnhmA18-VOdFdEiGr52brFHKcmj0</t>
  </si>
  <si>
    <t>Escudo targe.png</t>
  </si>
  <si>
    <t>Escudo targe</t>
  </si>
  <si>
    <t>18yYOSm-unRC6vg7UMgqYmru7Onjhfx4i</t>
  </si>
  <si>
    <t>https://drive.google.com/file/d/18yYOSm-unRC6vg7UMgqYmru7Onjhfx4i/view?usp=drivesdk</t>
  </si>
  <si>
    <t>https://drive.google.com/uc?export=view&amp;id=18yYOSm-unRC6vg7UMgqYmru7Onjhfx4i</t>
  </si>
  <si>
    <t>Espada corta.png</t>
  </si>
  <si>
    <t>Espada corta</t>
  </si>
  <si>
    <t>18DIqSN5B5e1ZjcrqfEyxpj-GdhWMOPP8</t>
  </si>
  <si>
    <t>https://drive.google.com/file/d/18DIqSN5B5e1ZjcrqfEyxpj-GdhWMOPP8/view?usp=drivesdk</t>
  </si>
  <si>
    <t>https://drive.google.com/uc?export=view&amp;id=18DIqSN5B5e1ZjcrqfEyxpj-GdhWMOPP8</t>
  </si>
  <si>
    <t>Espada de doble hoja.jpg</t>
  </si>
  <si>
    <t>Espada de doble hoja</t>
  </si>
  <si>
    <t>18kmrJIkJ70w1OIUw5wD6TqgKt9N4vgur</t>
  </si>
  <si>
    <t>https://drive.google.com/file/d/18kmrJIkJ70w1OIUw5wD6TqgKt9N4vgur/view?usp=drivesdk</t>
  </si>
  <si>
    <t>https://drive.google.com/uc?export=view&amp;id=18kmrJIkJ70w1OIUw5wD6TqgKt9N4vgur</t>
  </si>
  <si>
    <t>Espada larga.jpg</t>
  </si>
  <si>
    <t>Espada larga</t>
  </si>
  <si>
    <t>1IP_WZesO112688yAcOpk2B98L0u1PWhP</t>
  </si>
  <si>
    <t>https://drive.google.com/file/d/1IP_WZesO112688yAcOpk2B98L0u1PWhP/view?usp=drivesdk</t>
  </si>
  <si>
    <t>https://drive.google.com/uc?export=view&amp;id=1IP_WZesO112688yAcOpk2B98L0u1PWhP</t>
  </si>
  <si>
    <t>Espadas.png</t>
  </si>
  <si>
    <t>Espadas</t>
  </si>
  <si>
    <t>1dEFZSzTnj1axhnoLycSUigJWLNyszzhH</t>
  </si>
  <si>
    <t>https://drive.google.com/file/d/1dEFZSzTnj1axhnoLycSUigJWLNyszzhH/view?usp=drivesdk</t>
  </si>
  <si>
    <t>https://drive.google.com/uc?export=view&amp;id=1dEFZSzTnj1axhnoLycSUigJWLNyszzhH</t>
  </si>
  <si>
    <t>Espadón.png</t>
  </si>
  <si>
    <t>Espadón</t>
  </si>
  <si>
    <t>1Qx6QoFAuHUQZMzEI68tgOgMjH1hO9Nhk</t>
  </si>
  <si>
    <t>https://drive.google.com/file/d/1Qx6QoFAuHUQZMzEI68tgOgMjH1hO9Nhk/view?usp=drivesdk</t>
  </si>
  <si>
    <t>https://drive.google.com/uc?export=view&amp;id=1Qx6QoFAuHUQZMzEI68tgOgMjH1hO9Nhk</t>
  </si>
  <si>
    <t>Especialista en terreno.png</t>
  </si>
  <si>
    <t>Especialista en terreno</t>
  </si>
  <si>
    <t>1lEn-ttF3D4GO-_IZ9NBXZ3FzNzW21_hp</t>
  </si>
  <si>
    <t>https://drive.google.com/file/d/1lEn-ttF3D4GO-_IZ9NBXZ3FzNzW21_hp/view?usp=drivesdk</t>
  </si>
  <si>
    <t>https://drive.google.com/uc?export=view&amp;id=1lEn-ttF3D4GO-_IZ9NBXZ3FzNzW21_hp</t>
  </si>
  <si>
    <t>Especialización.png</t>
  </si>
  <si>
    <t>Especialización</t>
  </si>
  <si>
    <t>1Nhi7wAWTwat25Ofvk8rX-ws_p4FhNC0Q</t>
  </si>
  <si>
    <t>https://drive.google.com/file/d/1Nhi7wAWTwat25Ofvk8rX-ws_p4FhNC0Q/view?usp=drivesdk</t>
  </si>
  <si>
    <t>https://drive.google.com/uc?export=view&amp;id=1Nhi7wAWTwat25Ofvk8rX-ws_p4FhNC0Q</t>
  </si>
  <si>
    <t>Especias.png</t>
  </si>
  <si>
    <t>Especias</t>
  </si>
  <si>
    <t>1Cv_NGpDd33ZfaVk2gWOJ1j9U4Ne8F0-W</t>
  </si>
  <si>
    <t>https://drive.google.com/file/d/1Cv_NGpDd33ZfaVk2gWOJ1j9U4Ne8F0-W/view?usp=drivesdk</t>
  </si>
  <si>
    <t>https://drive.google.com/uc?export=view&amp;id=1Cv_NGpDd33ZfaVk2gWOJ1j9U4Ne8F0-W</t>
  </si>
  <si>
    <t>Espinillera.png</t>
  </si>
  <si>
    <t>Espinillera</t>
  </si>
  <si>
    <t>1IlDOu14sKe-sD0Bmo-d9ZpIy738r8KVJ</t>
  </si>
  <si>
    <t>https://drive.google.com/file/d/1IlDOu14sKe-sD0Bmo-d9ZpIy738r8KVJ/view?usp=drivesdk</t>
  </si>
  <si>
    <t>https://drive.google.com/uc?export=view&amp;id=1IlDOu14sKe-sD0Bmo-d9ZpIy738r8KVJ</t>
  </si>
  <si>
    <t>Espíritu bestial.png</t>
  </si>
  <si>
    <t>Espíritu bestial</t>
  </si>
  <si>
    <t>1mHu69AaJxK7d5_m5wv5jwkWfXC22OP0o</t>
  </si>
  <si>
    <t>https://drive.google.com/file/d/1mHu69AaJxK7d5_m5wv5jwkWfXC22OP0o/view?usp=drivesdk</t>
  </si>
  <si>
    <t>https://drive.google.com/uc?export=view&amp;id=1mHu69AaJxK7d5_m5wv5jwkWfXC22OP0o</t>
  </si>
  <si>
    <t>Espíritu bestial_bw.png</t>
  </si>
  <si>
    <t>Espíritu bestial bw</t>
  </si>
  <si>
    <t>17oR-z5t6gv35-DXYdCYVFfD4cBWL7DN7</t>
  </si>
  <si>
    <t>https://drive.google.com/file/d/17oR-z5t6gv35-DXYdCYVFfD4cBWL7DN7/view?usp=drivesdk</t>
  </si>
  <si>
    <t>https://drive.google.com/uc?export=view&amp;id=17oR-z5t6gv35-DXYdCYVFfD4cBWL7DN7</t>
  </si>
  <si>
    <t>Esquiva asombrosa.png</t>
  </si>
  <si>
    <t>Esquiva asombrosa</t>
  </si>
  <si>
    <t>1AuYNquM4Ot-5MUxtLe1y5F422Fpy24ZC</t>
  </si>
  <si>
    <t>https://drive.google.com/file/d/1AuYNquM4Ot-5MUxtLe1y5F422Fpy24ZC/view?usp=drivesdk</t>
  </si>
  <si>
    <t>https://drive.google.com/uc?export=view&amp;id=1AuYNquM4Ot-5MUxtLe1y5F422Fpy24ZC</t>
  </si>
  <si>
    <t>Estallar mente.png</t>
  </si>
  <si>
    <t>Estallar mente</t>
  </si>
  <si>
    <t>1ykl1jxvcC5txHklfmaNQ6iClkdCGcLXk</t>
  </si>
  <si>
    <t>https://drive.google.com/file/d/1ykl1jxvcC5txHklfmaNQ6iClkdCGcLXk/view?usp=drivesdk</t>
  </si>
  <si>
    <t>https://drive.google.com/uc?export=view&amp;id=1ykl1jxvcC5txHklfmaNQ6iClkdCGcLXk</t>
  </si>
  <si>
    <t>Estallar mente_bw.png</t>
  </si>
  <si>
    <t>Estallar mente bw</t>
  </si>
  <si>
    <t>15e_cuyHDsIhar8P16BONvpSTpYDcnyDN</t>
  </si>
  <si>
    <t>https://drive.google.com/file/d/15e_cuyHDsIhar8P16BONvpSTpYDcnyDN/view?usp=drivesdk</t>
  </si>
  <si>
    <t>https://drive.google.com/uc?export=view&amp;id=15e_cuyHDsIhar8P16BONvpSTpYDcnyDN</t>
  </si>
  <si>
    <t>Estilo defensivo.png</t>
  </si>
  <si>
    <t>Estilo defensivo</t>
  </si>
  <si>
    <t>1_CGo6T4sJqjGqDUkIZ7UThqBFwrSBzrd</t>
  </si>
  <si>
    <t>https://drive.google.com/file/d/1_CGo6T4sJqjGqDUkIZ7UThqBFwrSBzrd/view?usp=drivesdk</t>
  </si>
  <si>
    <t>https://drive.google.com/uc?export=view&amp;id=1_CGo6T4sJqjGqDUkIZ7UThqBFwrSBzrd</t>
  </si>
  <si>
    <t>Estilo defensivo_bw.png</t>
  </si>
  <si>
    <t>Estilo defensivo bw</t>
  </si>
  <si>
    <t>12VmtMTCfjY6VdCDouEULwYcDNgdMJwSI</t>
  </si>
  <si>
    <t>https://drive.google.com/file/d/12VmtMTCfjY6VdCDouEULwYcDNgdMJwSI/view?usp=drivesdk</t>
  </si>
  <si>
    <t>https://drive.google.com/uc?export=view&amp;id=12VmtMTCfjY6VdCDouEULwYcDNgdMJwSI</t>
  </si>
  <si>
    <t>Estilo ofensivo.png</t>
  </si>
  <si>
    <t>Estilo ofensivo</t>
  </si>
  <si>
    <t>1kq-8SnQv1GRdQRL9zcOrY5C48uPN8BQo</t>
  </si>
  <si>
    <t>https://drive.google.com/file/d/1kq-8SnQv1GRdQRL9zcOrY5C48uPN8BQo/view?usp=drivesdk</t>
  </si>
  <si>
    <t>https://drive.google.com/uc?export=view&amp;id=1kq-8SnQv1GRdQRL9zcOrY5C48uPN8BQo</t>
  </si>
  <si>
    <t>Estilo ofensivo_bw.png</t>
  </si>
  <si>
    <t>Estilo ofensivo bw</t>
  </si>
  <si>
    <t>1srthMHdO_5O9qhfH-HXc_diR_-DSCGBb</t>
  </si>
  <si>
    <t>https://drive.google.com/file/d/1srthMHdO_5O9qhfH-HXc_diR_-DSCGBb/view?usp=drivesdk</t>
  </si>
  <si>
    <t>https://drive.google.com/uc?export=view&amp;id=1srthMHdO_5O9qhfH-HXc_diR_-DSCGBb</t>
  </si>
  <si>
    <t>Estofado de Conejo.png</t>
  </si>
  <si>
    <t>Estofado de Conejo</t>
  </si>
  <si>
    <t>12AjWOJyhn2REE_ansfqHzESl9_WpRikT</t>
  </si>
  <si>
    <t>https://drive.google.com/file/d/12AjWOJyhn2REE_ansfqHzESl9_WpRikT/view?usp=drivesdk</t>
  </si>
  <si>
    <t>https://drive.google.com/uc?export=view&amp;id=12AjWOJyhn2REE_ansfqHzESl9_WpRikT</t>
  </si>
  <si>
    <t>Estoque.jpg</t>
  </si>
  <si>
    <t>Estoque</t>
  </si>
  <si>
    <t>1pgRBHMLKeEyn1RRM20J2CXuNFc5-ZT15</t>
  </si>
  <si>
    <t>https://drive.google.com/file/d/1pgRBHMLKeEyn1RRM20J2CXuNFc5-ZT15/view?usp=drivesdk</t>
  </si>
  <si>
    <t>https://drive.google.com/uc?export=view&amp;id=1pgRBHMLKeEyn1RRM20J2CXuNFc5-ZT15</t>
  </si>
  <si>
    <t>Estruendo.png</t>
  </si>
  <si>
    <t>Estruendo</t>
  </si>
  <si>
    <t>1otpZxVvrGVugzyoEeiHzDtiGCD2x3FhB</t>
  </si>
  <si>
    <t>https://drive.google.com/file/d/1otpZxVvrGVugzyoEeiHzDtiGCD2x3FhB/view?usp=drivesdk</t>
  </si>
  <si>
    <t>https://drive.google.com/uc?export=view&amp;id=1otpZxVvrGVugzyoEeiHzDtiGCD2x3FhB</t>
  </si>
  <si>
    <t>Estruendo_bw.png</t>
  </si>
  <si>
    <t>Estruendo bw</t>
  </si>
  <si>
    <t>1NLW9Yh8YaM-HZDUAbUgUIYEhuLjbMWwo</t>
  </si>
  <si>
    <t>https://drive.google.com/file/d/1NLW9Yh8YaM-HZDUAbUgUIYEhuLjbMWwo/view?usp=drivesdk</t>
  </si>
  <si>
    <t>https://drive.google.com/uc?export=view&amp;id=1NLW9Yh8YaM-HZDUAbUgUIYEhuLjbMWwo</t>
  </si>
  <si>
    <t>Evasión.png</t>
  </si>
  <si>
    <t>Evasión</t>
  </si>
  <si>
    <t>1BZeDzzkIYPEMdk4wo4cAQqdqiMYRXq2f</t>
  </si>
  <si>
    <t>https://drive.google.com/file/d/1BZeDzzkIYPEMdk4wo4cAQqdqiMYRXq2f/view?usp=drivesdk</t>
  </si>
  <si>
    <t>https://drive.google.com/uc?export=view&amp;id=1BZeDzzkIYPEMdk4wo4cAQqdqiMYRXq2f</t>
  </si>
  <si>
    <t>Evasión (Forajido).png</t>
  </si>
  <si>
    <t>Evasión (Forajido)</t>
  </si>
  <si>
    <t>1M0EtKIzLfa4AAau0hxMFHXiPLK5wiHwt</t>
  </si>
  <si>
    <t>https://drive.google.com/file/d/1M0EtKIzLfa4AAau0hxMFHXiPLK5wiHwt/view?usp=drivesdk</t>
  </si>
  <si>
    <t>https://drive.google.com/uc?export=view&amp;id=1M0EtKIzLfa4AAau0hxMFHXiPLK5wiHwt</t>
  </si>
  <si>
    <t>Exaltación impía.png</t>
  </si>
  <si>
    <t>Exaltación impía</t>
  </si>
  <si>
    <t>12DIYZZPFCFSniecDtWtRU4jXOZdKXtqX</t>
  </si>
  <si>
    <t>https://drive.google.com/file/d/12DIYZZPFCFSniecDtWtRU4jXOZdKXtqX/view?usp=drivesdk</t>
  </si>
  <si>
    <t>https://drive.google.com/uc?export=view&amp;id=12DIYZZPFCFSniecDtWtRU4jXOZdKXtqX</t>
  </si>
  <si>
    <t>Expulsar muertos vivientes.png</t>
  </si>
  <si>
    <t>Expulsar muertos vivientes</t>
  </si>
  <si>
    <t>1qePQJmVfakr5ws3UBWhD7ijAIKPWyU6g</t>
  </si>
  <si>
    <t>https://drive.google.com/file/d/1qePQJmVfakr5ws3UBWhD7ijAIKPWyU6g/view?usp=drivesdk</t>
  </si>
  <si>
    <t>https://drive.google.com/uc?export=view&amp;id=1qePQJmVfakr5ws3UBWhD7ijAIKPWyU6g</t>
  </si>
  <si>
    <t>Expulsar muertos vivientes_bw.png</t>
  </si>
  <si>
    <t>Expulsar muertos vivientes bw</t>
  </si>
  <si>
    <t>17Rd3XmUBLoJ0bWQ9SnZq9WxQHT7gvl-_</t>
  </si>
  <si>
    <t>https://drive.google.com/file/d/17Rd3XmUBLoJ0bWQ9SnZq9WxQHT7gvl-_/view?usp=drivesdk</t>
  </si>
  <si>
    <t>https://drive.google.com/uc?export=view&amp;id=17Rd3XmUBLoJ0bWQ9SnZq9WxQHT7gvl-_</t>
  </si>
  <si>
    <t>Familiar mágico.png</t>
  </si>
  <si>
    <t>Familiar mágico</t>
  </si>
  <si>
    <t>1QydGY0xDA-7LV4M2wH2Yu_0L4ywpyGMX</t>
  </si>
  <si>
    <t>https://drive.google.com/file/d/1QydGY0xDA-7LV4M2wH2Yu_0L4ywpyGMX/view?usp=drivesdk</t>
  </si>
  <si>
    <t>https://drive.google.com/uc?export=view&amp;id=1QydGY0xDA-7LV4M2wH2Yu_0L4ywpyGMX</t>
  </si>
  <si>
    <t>Familiar mágico_bw.png</t>
  </si>
  <si>
    <t>Familiar mágico bw</t>
  </si>
  <si>
    <t>1WRAmeXPgUm8duFAIrdth1I3IB4GEUt8s</t>
  </si>
  <si>
    <t>https://drive.google.com/file/d/1WRAmeXPgUm8duFAIrdth1I3IB4GEUt8s/view?usp=drivesdk</t>
  </si>
  <si>
    <t>https://drive.google.com/uc?export=view&amp;id=1WRAmeXPgUm8duFAIrdth1I3IB4GEUt8s</t>
  </si>
  <si>
    <t>Fe protectora.png</t>
  </si>
  <si>
    <t>Fe protectora</t>
  </si>
  <si>
    <t>1Iy9ttBqqbL0kMzfN46yyljbpSZi4rTx9</t>
  </si>
  <si>
    <t>https://drive.google.com/file/d/1Iy9ttBqqbL0kMzfN46yyljbpSZi4rTx9/view?usp=drivesdk</t>
  </si>
  <si>
    <t>https://drive.google.com/uc?export=view&amp;id=1Iy9ttBqqbL0kMzfN46yyljbpSZi4rTx9</t>
  </si>
  <si>
    <t>Flagelación.png</t>
  </si>
  <si>
    <t>Flagelación</t>
  </si>
  <si>
    <t>1JqSL9QwSEtiVNWIRTy8OV5ii6i1RLxM0</t>
  </si>
  <si>
    <t>https://drive.google.com/file/d/1JqSL9QwSEtiVNWIRTy8OV5ii6i1RLxM0/view?usp=drivesdk</t>
  </si>
  <si>
    <t>https://drive.google.com/uc?export=view&amp;id=1JqSL9QwSEtiVNWIRTy8OV5ii6i1RLxM0</t>
  </si>
  <si>
    <t>Flagelación_bw.png</t>
  </si>
  <si>
    <t>Flagelación bw</t>
  </si>
  <si>
    <t>1ALSx4NeR9LVCoP1QIZ2MVChJpqO7jEEO</t>
  </si>
  <si>
    <t>https://drive.google.com/file/d/1ALSx4NeR9LVCoP1QIZ2MVChJpqO7jEEO/view?usp=drivesdk</t>
  </si>
  <si>
    <t>https://drive.google.com/uc?export=view&amp;id=1ALSx4NeR9LVCoP1QIZ2MVChJpqO7jEEO</t>
  </si>
  <si>
    <t>Flauta Dulce.png</t>
  </si>
  <si>
    <t>Flauta Dulce</t>
  </si>
  <si>
    <t>1IB3b2jHJjj33WlQjDNRKzGtOQXKyQTS2</t>
  </si>
  <si>
    <t>https://drive.google.com/file/d/1IB3b2jHJjj33WlQjDNRKzGtOQXKyQTS2/view?usp=drivesdk</t>
  </si>
  <si>
    <t>https://drive.google.com/uc?export=view&amp;id=1IB3b2jHJjj33WlQjDNRKzGtOQXKyQTS2</t>
  </si>
  <si>
    <t>Fondo.png</t>
  </si>
  <si>
    <t>Fondo</t>
  </si>
  <si>
    <t>1zKxnYjxQgFfuuiuLbw9ak95C9PENQohB</t>
  </si>
  <si>
    <t>https://drive.google.com/file/d/1zKxnYjxQgFfuuiuLbw9ak95C9PENQohB/view?usp=drivesdk</t>
  </si>
  <si>
    <t>https://drive.google.com/uc?export=view&amp;id=1zKxnYjxQgFfuuiuLbw9ak95C9PENQohB</t>
  </si>
  <si>
    <t>Forma con bastón.png</t>
  </si>
  <si>
    <t>Forma con bastón</t>
  </si>
  <si>
    <t>1DLJ2KrwnEujjkPOyxpPC-vZeypW5Luhd</t>
  </si>
  <si>
    <t>https://drive.google.com/file/d/1DLJ2KrwnEujjkPOyxpPC-vZeypW5Luhd/view?usp=drivesdk</t>
  </si>
  <si>
    <t>https://drive.google.com/uc?export=view&amp;id=1DLJ2KrwnEujjkPOyxpPC-vZeypW5Luhd</t>
  </si>
  <si>
    <t>Forma con bastón_bw.png</t>
  </si>
  <si>
    <t>Forma con bastón bw</t>
  </si>
  <si>
    <t>1XdoxmoSZYJhMtA9Ogk-ygH1F_b7h-_2t</t>
  </si>
  <si>
    <t>https://drive.google.com/file/d/1XdoxmoSZYJhMtA9Ogk-ygH1F_b7h-_2t/view?usp=drivesdk</t>
  </si>
  <si>
    <t>https://drive.google.com/uc?export=view&amp;id=1XdoxmoSZYJhMtA9Ogk-ygH1F_b7h-_2t</t>
  </si>
  <si>
    <t>Fortaleza Enana.png</t>
  </si>
  <si>
    <t>Fortaleza Enana</t>
  </si>
  <si>
    <t>1CvoSArCqD9gfMbKJUi9OBKJ7HKirZIi3</t>
  </si>
  <si>
    <t>https://drive.google.com/file/d/1CvoSArCqD9gfMbKJUi9OBKJ7HKirZIi3/view?usp=drivesdk</t>
  </si>
  <si>
    <t>https://drive.google.com/uc?export=view&amp;id=1CvoSArCqD9gfMbKJUi9OBKJ7HKirZIi3</t>
  </si>
  <si>
    <t>Fósforo.png</t>
  </si>
  <si>
    <t>Fósforo</t>
  </si>
  <si>
    <t>1bJVzl-oNbGrzdcZPP0XsVKXq_IWoaPHv</t>
  </si>
  <si>
    <t>https://drive.google.com/file/d/1bJVzl-oNbGrzdcZPP0XsVKXq_IWoaPHv/view?usp=drivesdk</t>
  </si>
  <si>
    <t>https://drive.google.com/uc?export=view&amp;id=1bJVzl-oNbGrzdcZPP0XsVKXq_IWoaPHv</t>
  </si>
  <si>
    <t>Foso Camuflado.png</t>
  </si>
  <si>
    <t>Foso Camuflado</t>
  </si>
  <si>
    <t>1g4nbToTIxSI8JyFSbkueoccioQHYeyeN</t>
  </si>
  <si>
    <t>https://drive.google.com/file/d/1g4nbToTIxSI8JyFSbkueoccioQHYeyeN/view?usp=drivesdk</t>
  </si>
  <si>
    <t>https://drive.google.com/uc?export=view&amp;id=1g4nbToTIxSI8JyFSbkueoccioQHYeyeN</t>
  </si>
  <si>
    <t>Trampero</t>
  </si>
  <si>
    <t>1chu1UOpNOapGYwYdYVKSSlVbhHNJcxbE</t>
  </si>
  <si>
    <t>Fractor Magnigladii.png</t>
  </si>
  <si>
    <t>Fractor Magnigladii</t>
  </si>
  <si>
    <t>1RLCpNAiVWLdmjmjQcyWC3Q63U4k5pTIg</t>
  </si>
  <si>
    <t>https://drive.google.com/file/d/1RLCpNAiVWLdmjmjQcyWC3Q63U4k5pTIg/view?usp=drivesdk</t>
  </si>
  <si>
    <t>https://drive.google.com/uc?export=view&amp;id=1RLCpNAiVWLdmjmjQcyWC3Q63U4k5pTIg</t>
  </si>
  <si>
    <t>Frasco incendiario.png</t>
  </si>
  <si>
    <t>Frasco incendiario</t>
  </si>
  <si>
    <t>1psXUDDlePAlAtrslHFSwAvSO5RdL-9AV</t>
  </si>
  <si>
    <t>https://drive.google.com/file/d/1psXUDDlePAlAtrslHFSwAvSO5RdL-9AV/view?usp=drivesdk</t>
  </si>
  <si>
    <t>https://drive.google.com/uc?export=view&amp;id=1psXUDDlePAlAtrslHFSwAvSO5RdL-9AV</t>
  </si>
  <si>
    <t>Fronth Brothar.png</t>
  </si>
  <si>
    <t>Fronth Brothar</t>
  </si>
  <si>
    <t>1PTlar7W58IxjNBn96FsP6vGMJnzXidjN</t>
  </si>
  <si>
    <t>https://drive.google.com/file/d/1PTlar7W58IxjNBn96FsP6vGMJnzXidjN/view?usp=drivesdk</t>
  </si>
  <si>
    <t>https://drive.google.com/uc?export=view&amp;id=1PTlar7W58IxjNBn96FsP6vGMJnzXidjN</t>
  </si>
  <si>
    <t>Frutas Deshidratadas.png</t>
  </si>
  <si>
    <t>Frutas Deshidratadas</t>
  </si>
  <si>
    <t>1y2_sfyHrAk8LZsVmhUAqgMPoYM20k8N2</t>
  </si>
  <si>
    <t>https://drive.google.com/file/d/1y2_sfyHrAk8LZsVmhUAqgMPoYM20k8N2/view?usp=drivesdk</t>
  </si>
  <si>
    <t>https://drive.google.com/uc?export=view&amp;id=1y2_sfyHrAk8LZsVmhUAqgMPoYM20k8N2</t>
  </si>
  <si>
    <t>Frutos Rojos.png</t>
  </si>
  <si>
    <t>Frutos Rojos</t>
  </si>
  <si>
    <t>1x-zhZqasfeuP8RFx3nGvnyEJuD89OFtp</t>
  </si>
  <si>
    <t>https://drive.google.com/file/d/1x-zhZqasfeuP8RFx3nGvnyEJuD89OFtp/view?usp=drivesdk</t>
  </si>
  <si>
    <t>https://drive.google.com/uc?export=view&amp;id=1x-zhZqasfeuP8RFx3nGvnyEJuD89OFtp</t>
  </si>
  <si>
    <t>Fuego impío.png</t>
  </si>
  <si>
    <t>Fuego impío</t>
  </si>
  <si>
    <t>1e9W_Tbq0TLRtTMZqjA-EF4gYUxJw0Swm</t>
  </si>
  <si>
    <t>https://drive.google.com/file/d/1e9W_Tbq0TLRtTMZqjA-EF4gYUxJw0Swm/view?usp=drivesdk</t>
  </si>
  <si>
    <t>https://drive.google.com/uc?export=view&amp;id=1e9W_Tbq0TLRtTMZqjA-EF4gYUxJw0Swm</t>
  </si>
  <si>
    <t>Fuego impío_bw.png</t>
  </si>
  <si>
    <t>Fuego impío bw</t>
  </si>
  <si>
    <t>1UVqih7Xtu_15lUp4zvITVx1C6CW_4UDy</t>
  </si>
  <si>
    <t>https://drive.google.com/file/d/1UVqih7Xtu_15lUp4zvITVx1C6CW_4UDy/view?usp=drivesdk</t>
  </si>
  <si>
    <t>https://drive.google.com/uc?export=view&amp;id=1UVqih7Xtu_15lUp4zvITVx1C6CW_4UDy</t>
  </si>
  <si>
    <t>Fuerza.png</t>
  </si>
  <si>
    <t>Fuerza</t>
  </si>
  <si>
    <t>19NuHRnJ6pzBvVWJ9v0EIz0Z92PF2iQrZ</t>
  </si>
  <si>
    <t>https://drive.google.com/file/d/19NuHRnJ6pzBvVWJ9v0EIz0Z92PF2iQrZ/view?usp=drivesdk</t>
  </si>
  <si>
    <t>https://drive.google.com/uc?export=view&amp;id=19NuHRnJ6pzBvVWJ9v0EIz0Z92PF2iQrZ</t>
  </si>
  <si>
    <t>Fundirse en la multitud.png</t>
  </si>
  <si>
    <t>Fundirse en la multitud</t>
  </si>
  <si>
    <t>1dIQ01sJXTJlH7xjjCYmT8gNMQtI5uCSa</t>
  </si>
  <si>
    <t>https://drive.google.com/file/d/1dIQ01sJXTJlH7xjjCYmT8gNMQtI5uCSa/view?usp=drivesdk</t>
  </si>
  <si>
    <t>https://drive.google.com/uc?export=view&amp;id=1dIQ01sJXTJlH7xjjCYmT8gNMQtI5uCSa</t>
  </si>
  <si>
    <t>Fundirse en la multitud_bw.png</t>
  </si>
  <si>
    <t>Fundirse en la multitud bw</t>
  </si>
  <si>
    <t>1fSu6BToJjc6sd-JC1ffFijVNYVuxia--</t>
  </si>
  <si>
    <t>https://drive.google.com/file/d/1fSu6BToJjc6sd-JC1ffFijVNYVuxia--/view?usp=drivesdk</t>
  </si>
  <si>
    <t>https://drive.google.com/uc?export=view&amp;id=1fSu6BToJjc6sd-JC1ffFijVNYVuxia--</t>
  </si>
  <si>
    <t>Fundirse en las sombras.png</t>
  </si>
  <si>
    <t>Fundirse en las sombras</t>
  </si>
  <si>
    <t>1sJWhXczNq5znaE9RWy3VlHVViVtJiZij</t>
  </si>
  <si>
    <t>https://drive.google.com/file/d/1sJWhXczNq5znaE9RWy3VlHVViVtJiZij/view?usp=drivesdk</t>
  </si>
  <si>
    <t>https://drive.google.com/uc?export=view&amp;id=1sJWhXczNq5znaE9RWy3VlHVViVtJiZij</t>
  </si>
  <si>
    <t>Furia.png</t>
  </si>
  <si>
    <t>Furia</t>
  </si>
  <si>
    <t>1Z5uzvk3jFalhtxVNoRK66ycEMjllqjg9</t>
  </si>
  <si>
    <t>https://drive.google.com/file/d/1Z5uzvk3jFalhtxVNoRK66ycEMjllqjg9/view?usp=drivesdk</t>
  </si>
  <si>
    <t>https://drive.google.com/uc?export=view&amp;id=1Z5uzvk3jFalhtxVNoRK66ycEMjllqjg9</t>
  </si>
  <si>
    <t>Furia implacable.png</t>
  </si>
  <si>
    <t>Furia implacable</t>
  </si>
  <si>
    <t>17DEFht5BMWNQEysYlUVP-CHkcLGZB6YV</t>
  </si>
  <si>
    <t>https://drive.google.com/file/d/17DEFht5BMWNQEysYlUVP-CHkcLGZB6YV/view?usp=drivesdk</t>
  </si>
  <si>
    <t>https://drive.google.com/uc?export=view&amp;id=17DEFht5BMWNQEysYlUVP-CHkcLGZB6YV</t>
  </si>
  <si>
    <t>Gaita.png</t>
  </si>
  <si>
    <t>Gaita</t>
  </si>
  <si>
    <t>1Y-Is5m3cOCOjjmuE4b68ioe8QuQVsvFu</t>
  </si>
  <si>
    <t>https://drive.google.com/file/d/1Y-Is5m3cOCOjjmuE4b68ioe8QuQVsvFu/view?usp=drivesdk</t>
  </si>
  <si>
    <t>https://drive.google.com/uc?export=view&amp;id=1Y-Is5m3cOCOjjmuE4b68ioe8QuQVsvFu</t>
  </si>
  <si>
    <t>Garras.png</t>
  </si>
  <si>
    <t>Garras</t>
  </si>
  <si>
    <t>1025oaDBNJTWj_E-SN1xsP-R6Y6g2FVzo</t>
  </si>
  <si>
    <t>https://drive.google.com/file/d/1025oaDBNJTWj_E-SN1xsP-R6Y6g2FVzo/view?usp=drivesdk</t>
  </si>
  <si>
    <t>https://drive.google.com/uc?export=view&amp;id=1025oaDBNJTWj_E-SN1xsP-R6Y6g2FVzo</t>
  </si>
  <si>
    <t>Garrote.png</t>
  </si>
  <si>
    <t>Garrote</t>
  </si>
  <si>
    <t>1nsASTedU9qIlRnk17tSl6FCf75WzEtaJ</t>
  </si>
  <si>
    <t>https://drive.google.com/file/d/1nsASTedU9qIlRnk17tSl6FCf75WzEtaJ/view?usp=drivesdk</t>
  </si>
  <si>
    <t>https://drive.google.com/uc?export=view&amp;id=1nsASTedU9qIlRnk17tSl6FCf75WzEtaJ</t>
  </si>
  <si>
    <t>Ginseng.png</t>
  </si>
  <si>
    <t>Ginseng</t>
  </si>
  <si>
    <t>1qJ0F2oTsjQlyCcxMcGKVZt4ChI73g1zU</t>
  </si>
  <si>
    <t>https://drive.google.com/file/d/1qJ0F2oTsjQlyCcxMcGKVZt4ChI73g1zU/view?usp=drivesdk</t>
  </si>
  <si>
    <t>https://drive.google.com/uc?export=view&amp;id=1qJ0F2oTsjQlyCcxMcGKVZt4ChI73g1zU</t>
  </si>
  <si>
    <t>Glifo Custodio Menor.png</t>
  </si>
  <si>
    <t>Glifo Custodio Menor</t>
  </si>
  <si>
    <t>1EgwgjxNQapdogQApJlRtyYGAq85jUkch</t>
  </si>
  <si>
    <t>https://drive.google.com/file/d/1EgwgjxNQapdogQApJlRtyYGAq85jUkch/view?usp=drivesdk</t>
  </si>
  <si>
    <t>https://drive.google.com/uc?export=view&amp;id=1EgwgjxNQapdogQApJlRtyYGAq85jUkch</t>
  </si>
  <si>
    <t>Glifo Custodio Menor_bw.png</t>
  </si>
  <si>
    <t>Glifo Custodio Menor bw</t>
  </si>
  <si>
    <t>1U-ET8Nz2lfMUv1-ivWRSyZHCfObR3thU</t>
  </si>
  <si>
    <t>https://drive.google.com/file/d/1U-ET8Nz2lfMUv1-ivWRSyZHCfObR3thU/view?usp=drivesdk</t>
  </si>
  <si>
    <t>https://drive.google.com/uc?export=view&amp;id=1U-ET8Nz2lfMUv1-ivWRSyZHCfObR3thU</t>
  </si>
  <si>
    <t>Gloria a los Valientes.png</t>
  </si>
  <si>
    <t>Gloria a los Valientes</t>
  </si>
  <si>
    <t>1z-ULPidVWb4JIReW49j8ZnY3giYUBHvD</t>
  </si>
  <si>
    <t>https://drive.google.com/file/d/1z-ULPidVWb4JIReW49j8ZnY3giYUBHvD/view?usp=drivesdk</t>
  </si>
  <si>
    <t>https://drive.google.com/uc?export=view&amp;id=1z-ULPidVWb4JIReW49j8ZnY3giYUBHvD</t>
  </si>
  <si>
    <t>Golpe Agotador.png</t>
  </si>
  <si>
    <t>Golpe Agotador</t>
  </si>
  <si>
    <t>1GYBjwxfB_x7PAXEp1yXefW_DdE0JbuiX</t>
  </si>
  <si>
    <t>https://drive.google.com/file/d/1GYBjwxfB_x7PAXEp1yXefW_DdE0JbuiX/view?usp=drivesdk</t>
  </si>
  <si>
    <t>https://drive.google.com/uc?export=view&amp;id=1GYBjwxfB_x7PAXEp1yXefW_DdE0JbuiX</t>
  </si>
  <si>
    <t>Golpe de energía.png</t>
  </si>
  <si>
    <t>Golpe de energía</t>
  </si>
  <si>
    <t>1ptqb6f34pKRzCR_iF5uvxC9MsKqjrZBI</t>
  </si>
  <si>
    <t>https://drive.google.com/file/d/1ptqb6f34pKRzCR_iF5uvxC9MsKqjrZBI/view?usp=drivesdk</t>
  </si>
  <si>
    <t>https://drive.google.com/uc?export=view&amp;id=1ptqb6f34pKRzCR_iF5uvxC9MsKqjrZBI</t>
  </si>
  <si>
    <t>Golpe de energía_bw.png</t>
  </si>
  <si>
    <t>Golpe de energía bw</t>
  </si>
  <si>
    <t>1ZrgF3zBY4f7KJtCxxoK6MAjvz3KsBOZR</t>
  </si>
  <si>
    <t>https://drive.google.com/file/d/1ZrgF3zBY4f7KJtCxxoK6MAjvz3KsBOZR/view?usp=drivesdk</t>
  </si>
  <si>
    <t>https://drive.google.com/uc?export=view&amp;id=1ZrgF3zBY4f7KJtCxxoK6MAjvz3KsBOZR</t>
  </si>
  <si>
    <t>Golpe de Escudo.png</t>
  </si>
  <si>
    <t>Golpe de Escudo</t>
  </si>
  <si>
    <t>1BNlfHCaPwDHKMkavwufM5HsvZafukTIo</t>
  </si>
  <si>
    <t>https://drive.google.com/file/d/1BNlfHCaPwDHKMkavwufM5HsvZafukTIo/view?usp=drivesdk</t>
  </si>
  <si>
    <t>https://drive.google.com/uc?export=view&amp;id=1BNlfHCaPwDHKMkavwufM5HsvZafukTIo</t>
  </si>
  <si>
    <t>Golpe de Escudo_bw.png</t>
  </si>
  <si>
    <t>Golpe de Escudo bw</t>
  </si>
  <si>
    <t>1zBrj-AdocN7rWBgCbtZznE7Pl-FDmT6G</t>
  </si>
  <si>
    <t>https://drive.google.com/file/d/1zBrj-AdocN7rWBgCbtZznE7Pl-FDmT6G/view?usp=drivesdk</t>
  </si>
  <si>
    <t>https://drive.google.com/uc?export=view&amp;id=1zBrj-AdocN7rWBgCbtZznE7Pl-FDmT6G</t>
  </si>
  <si>
    <t>Golpe de gracia.png</t>
  </si>
  <si>
    <t>Golpe de gracia</t>
  </si>
  <si>
    <t>1r-XVooowrDQ5fhu-QsSc0sHbztebcgcn</t>
  </si>
  <si>
    <t>https://drive.google.com/file/d/1r-XVooowrDQ5fhu-QsSc0sHbztebcgcn/view?usp=drivesdk</t>
  </si>
  <si>
    <t>https://drive.google.com/uc?export=view&amp;id=1r-XVooowrDQ5fhu-QsSc0sHbztebcgcn</t>
  </si>
  <si>
    <t>Golpe de trueno.png</t>
  </si>
  <si>
    <t>Golpe de trueno</t>
  </si>
  <si>
    <t>1A23LKrfF81cvyCXKLWn2bFvtYZDzNeuh</t>
  </si>
  <si>
    <t>https://drive.google.com/file/d/1A23LKrfF81cvyCXKLWn2bFvtYZDzNeuh/view?usp=drivesdk</t>
  </si>
  <si>
    <t>https://drive.google.com/uc?export=view&amp;id=1A23LKrfF81cvyCXKLWn2bFvtYZDzNeuh</t>
  </si>
  <si>
    <t>Golpe de trueno_bw.png</t>
  </si>
  <si>
    <t>Golpe de trueno bw</t>
  </si>
  <si>
    <t>1mN7_a9OXor7rkAAeZGvg-ocVb1LFNk3-</t>
  </si>
  <si>
    <t>https://drive.google.com/file/d/1mN7_a9OXor7rkAAeZGvg-ocVb1LFNk3-/view?usp=drivesdk</t>
  </si>
  <si>
    <t>https://drive.google.com/uc?export=view&amp;id=1mN7_a9OXor7rkAAeZGvg-ocVb1LFNk3-</t>
  </si>
  <si>
    <t>Golpe de vida.png</t>
  </si>
  <si>
    <t>Golpe de vida</t>
  </si>
  <si>
    <t>1KLBuPZ8NzoI8iE_hU5DLX5Z_gA5bOiPZ</t>
  </si>
  <si>
    <t>https://drive.google.com/file/d/1KLBuPZ8NzoI8iE_hU5DLX5Z_gA5bOiPZ/view?usp=drivesdk</t>
  </si>
  <si>
    <t>https://drive.google.com/uc?export=view&amp;id=1KLBuPZ8NzoI8iE_hU5DLX5Z_gA5bOiPZ</t>
  </si>
  <si>
    <t>Golpe de vida_bw.png</t>
  </si>
  <si>
    <t>Golpe de vida bw</t>
  </si>
  <si>
    <t>1gmqA1DnsaWUArnu3hqmlZ2sLM6ZQ5_ne</t>
  </si>
  <si>
    <t>https://drive.google.com/file/d/1gmqA1DnsaWUArnu3hqmlZ2sLM6ZQ5_ne/view?usp=drivesdk</t>
  </si>
  <si>
    <t>https://drive.google.com/uc?export=view&amp;id=1gmqA1DnsaWUArnu3hqmlZ2sLM6ZQ5_ne</t>
  </si>
  <si>
    <t>Golpe divino.png</t>
  </si>
  <si>
    <t>Golpe divino</t>
  </si>
  <si>
    <t>1DkmOjOB01doVpQaHUYkdpJPWtDMk3768</t>
  </si>
  <si>
    <t>https://drive.google.com/file/d/1DkmOjOB01doVpQaHUYkdpJPWtDMk3768/view?usp=drivesdk</t>
  </si>
  <si>
    <t>https://drive.google.com/uc?export=view&amp;id=1DkmOjOB01doVpQaHUYkdpJPWtDMk3768</t>
  </si>
  <si>
    <t>Golpe divino_bw.png</t>
  </si>
  <si>
    <t>Golpe divino bw</t>
  </si>
  <si>
    <t>1PHfOE5QG2UJajjVAZwqECKWJv_DMbAFM</t>
  </si>
  <si>
    <t>https://drive.google.com/file/d/1PHfOE5QG2UJajjVAZwqECKWJv_DMbAFM/view?usp=drivesdk</t>
  </si>
  <si>
    <t>https://drive.google.com/uc?export=view&amp;id=1PHfOE5QG2UJajjVAZwqECKWJv_DMbAFM</t>
  </si>
  <si>
    <t>Golpe Duro.png</t>
  </si>
  <si>
    <t>Golpe Duro</t>
  </si>
  <si>
    <t>1a8MbYosX38kOn4oHtPtWawb_JlF3LYob</t>
  </si>
  <si>
    <t>https://drive.google.com/file/d/1a8MbYosX38kOn4oHtPtWawb_JlF3LYob/view?usp=drivesdk</t>
  </si>
  <si>
    <t>https://drive.google.com/uc?export=view&amp;id=1a8MbYosX38kOn4oHtPtWawb_JlF3LYob</t>
  </si>
  <si>
    <t>Golpe final.png</t>
  </si>
  <si>
    <t>Golpe final</t>
  </si>
  <si>
    <t>1dLhp2nFjZ03FCkL1MrC2jLfcQBr0t5B_</t>
  </si>
  <si>
    <t>https://drive.google.com/file/d/1dLhp2nFjZ03FCkL1MrC2jLfcQBr0t5B_/view?usp=drivesdk</t>
  </si>
  <si>
    <t>https://drive.google.com/uc?export=view&amp;id=1dLhp2nFjZ03FCkL1MrC2jLfcQBr0t5B_</t>
  </si>
  <si>
    <t>Golpe final_bw.png</t>
  </si>
  <si>
    <t>Golpe final bw</t>
  </si>
  <si>
    <t>149EdrackUP1VfYqgXfeuyZwRXZsI2IRM</t>
  </si>
  <si>
    <t>https://drive.google.com/file/d/149EdrackUP1VfYqgXfeuyZwRXZsI2IRM/view?usp=drivesdk</t>
  </si>
  <si>
    <t>https://drive.google.com/uc?export=view&amp;id=149EdrackUP1VfYqgXfeuyZwRXZsI2IRM</t>
  </si>
  <si>
    <t>Gran hacha de batalla.jpg</t>
  </si>
  <si>
    <t>Gran hacha de batalla</t>
  </si>
  <si>
    <t>1i_ysQROdbMZsUBw9k6osyxL82vUQXt1r</t>
  </si>
  <si>
    <t>https://drive.google.com/file/d/1i_ysQROdbMZsUBw9k6osyxL82vUQXt1r/view?usp=drivesdk</t>
  </si>
  <si>
    <t>https://drive.google.com/uc?export=view&amp;id=1i_ysQROdbMZsUBw9k6osyxL82vUQXt1r</t>
  </si>
  <si>
    <t>Grebas.png</t>
  </si>
  <si>
    <t>Grebas</t>
  </si>
  <si>
    <t>1glOrwGnqD8fV-rjvdOp8ZwUOshs6cPa_</t>
  </si>
  <si>
    <t>https://drive.google.com/file/d/1glOrwGnqD8fV-rjvdOp8ZwUOshs6cPa_/view?usp=drivesdk</t>
  </si>
  <si>
    <t>https://drive.google.com/uc?export=view&amp;id=1glOrwGnqD8fV-rjvdOp8ZwUOshs6cPa_</t>
  </si>
  <si>
    <t>Grito de batalla.png</t>
  </si>
  <si>
    <t>Grito de batalla</t>
  </si>
  <si>
    <t>1KRyyZmXlPn0jCkHtyJGuVfna0adYYwA6</t>
  </si>
  <si>
    <t>https://drive.google.com/file/d/1KRyyZmXlPn0jCkHtyJGuVfna0adYYwA6/view?usp=drivesdk</t>
  </si>
  <si>
    <t>https://drive.google.com/uc?export=view&amp;id=1KRyyZmXlPn0jCkHtyJGuVfna0adYYwA6</t>
  </si>
  <si>
    <t>Grito de batalla_bw.png</t>
  </si>
  <si>
    <t>Grito de batalla bw</t>
  </si>
  <si>
    <t>1Y0o1YTRwPsDwiBIXY9JhNuHkNyoQmXyF</t>
  </si>
  <si>
    <t>https://drive.google.com/file/d/1Y0o1YTRwPsDwiBIXY9JhNuHkNyoQmXyF/view?usp=drivesdk</t>
  </si>
  <si>
    <t>https://drive.google.com/uc?export=view&amp;id=1Y0o1YTRwPsDwiBIXY9JhNuHkNyoQmXyF</t>
  </si>
  <si>
    <t>Guadaña.jpg</t>
  </si>
  <si>
    <t>Guadaña</t>
  </si>
  <si>
    <t>1kBu0523Bkw8KmZ8DUMUFphM8QBYjbRNa</t>
  </si>
  <si>
    <t>https://drive.google.com/file/d/1kBu0523Bkw8KmZ8DUMUFphM8QBYjbRNa/view?usp=drivesdk</t>
  </si>
  <si>
    <t>https://drive.google.com/uc?export=view&amp;id=1kBu0523Bkw8KmZ8DUMUFphM8QBYjbRNa</t>
  </si>
  <si>
    <t>Guantelete de batalla.jpg</t>
  </si>
  <si>
    <t>Guantelete de batalla</t>
  </si>
  <si>
    <t>1_E1ub-MRsCTTcW4alCeSUNxtkaKUooqH</t>
  </si>
  <si>
    <t>https://drive.google.com/file/d/1_E1ub-MRsCTTcW4alCeSUNxtkaKUooqH/view?usp=drivesdk</t>
  </si>
  <si>
    <t>https://drive.google.com/uc?export=view&amp;id=1_E1ub-MRsCTTcW4alCeSUNxtkaKUooqH</t>
  </si>
  <si>
    <t>Guantes de cuero.jpg</t>
  </si>
  <si>
    <t>Guantes de cuero</t>
  </si>
  <si>
    <t>1NmLnCrGTtt3JrIrJIo2YML3aJGnEIr3_</t>
  </si>
  <si>
    <t>https://drive.google.com/file/d/1NmLnCrGTtt3JrIrJIo2YML3aJGnEIr3_/view?usp=drivesdk</t>
  </si>
  <si>
    <t>https://drive.google.com/uc?export=view&amp;id=1NmLnCrGTtt3JrIrJIo2YML3aJGnEIr3_</t>
  </si>
  <si>
    <t>Guantes de Cuero con Placas.png</t>
  </si>
  <si>
    <t>Guantes de Cuero con Placas</t>
  </si>
  <si>
    <t>1tNWZ1Xl3lhIGdPsyRjCInbCxR0oDqxd6</t>
  </si>
  <si>
    <t>https://drive.google.com/file/d/1tNWZ1Xl3lhIGdPsyRjCInbCxR0oDqxd6/view?usp=drivesdk</t>
  </si>
  <si>
    <t>https://drive.google.com/uc?export=view&amp;id=1tNWZ1Xl3lhIGdPsyRjCInbCxR0oDqxd6</t>
  </si>
  <si>
    <t>Guantes de placas.png</t>
  </si>
  <si>
    <t>Guantes de placas</t>
  </si>
  <si>
    <t>1z4VS_JOIH8DXClHBVYH-iSN7aM2nS75i</t>
  </si>
  <si>
    <t>https://drive.google.com/file/d/1z4VS_JOIH8DXClHBVYH-iSN7aM2nS75i/view?usp=drivesdk</t>
  </si>
  <si>
    <t>https://drive.google.com/uc?export=view&amp;id=1z4VS_JOIH8DXClHBVYH-iSN7aM2nS75i</t>
  </si>
  <si>
    <t>Hablar con los muertos.jpg</t>
  </si>
  <si>
    <t>Hablar con los muertos</t>
  </si>
  <si>
    <t>13MZUiU9QCVHy9RsjBb7HVG7hj6697sub</t>
  </si>
  <si>
    <t>https://drive.google.com/file/d/13MZUiU9QCVHy9RsjBb7HVG7hj6697sub/view?usp=drivesdk</t>
  </si>
  <si>
    <t>https://drive.google.com/uc?export=view&amp;id=13MZUiU9QCVHy9RsjBb7HVG7hj6697sub</t>
  </si>
  <si>
    <t>Hablar con los muertos_bw.jpg</t>
  </si>
  <si>
    <t>Hablar con los muertos bw</t>
  </si>
  <si>
    <t>1w7VfTt2MTnS7OxwMTVaK700fjO1uP4Sw</t>
  </si>
  <si>
    <t>https://drive.google.com/file/d/1w7VfTt2MTnS7OxwMTVaK700fjO1uP4Sw/view?usp=drivesdk</t>
  </si>
  <si>
    <t>https://drive.google.com/uc?export=view&amp;id=1w7VfTt2MTnS7OxwMTVaK700fjO1uP4Sw</t>
  </si>
  <si>
    <t>Hacha de Batalla.png</t>
  </si>
  <si>
    <t>Hacha de Batalla</t>
  </si>
  <si>
    <t>1QvdlXIW1CReRyJbTzudzGp3eIwuUdh3Q</t>
  </si>
  <si>
    <t>https://drive.google.com/file/d/1QvdlXIW1CReRyJbTzudzGp3eIwuUdh3Q/view?usp=drivesdk</t>
  </si>
  <si>
    <t>https://drive.google.com/uc?export=view&amp;id=1QvdlXIW1CReRyJbTzudzGp3eIwuUdh3Q</t>
  </si>
  <si>
    <t>Hacha de mano.jpg</t>
  </si>
  <si>
    <t>Hacha de mano</t>
  </si>
  <si>
    <t>1CbUd22kmCsjgL2ThqwgVgMKYiMzxoexd</t>
  </si>
  <si>
    <t>https://drive.google.com/file/d/1CbUd22kmCsjgL2ThqwgVgMKYiMzxoexd/view?usp=drivesdk</t>
  </si>
  <si>
    <t>https://drive.google.com/uc?export=view&amp;id=1CbUd22kmCsjgL2ThqwgVgMKYiMzxoexd</t>
  </si>
  <si>
    <t>Hachas y Mazas.png</t>
  </si>
  <si>
    <t>Hachas y Mazas</t>
  </si>
  <si>
    <t>1zc-R-FrC2P4JGBl6egEzahfptssoMjRL</t>
  </si>
  <si>
    <t>https://drive.google.com/file/d/1zc-R-FrC2P4JGBl6egEzahfptssoMjRL/view?usp=drivesdk</t>
  </si>
  <si>
    <t>https://drive.google.com/uc?export=view&amp;id=1zc-R-FrC2P4JGBl6egEzahfptssoMjRL</t>
  </si>
  <si>
    <t>HALMARI_FEMENINO.png</t>
  </si>
  <si>
    <t>HALMARI FEMENINO</t>
  </si>
  <si>
    <t>1WbwisamXYCOjqIkpIhKp1NVqd_--N99b</t>
  </si>
  <si>
    <t>https://drive.google.com/file/d/1WbwisamXYCOjqIkpIhKp1NVqd_--N99b/view?usp=drivesdk</t>
  </si>
  <si>
    <t>https://drive.google.com/uc?export=view&amp;id=1WbwisamXYCOjqIkpIhKp1NVqd_--N99b</t>
  </si>
  <si>
    <t>Halmari herrero.png</t>
  </si>
  <si>
    <t>Halmari herrero</t>
  </si>
  <si>
    <t>1xgGDHbPpXT_zE4MinyIT5qQutwgONSzH</t>
  </si>
  <si>
    <t>https://drive.google.com/file/d/1xgGDHbPpXT_zE4MinyIT5qQutwgONSzH/view?usp=drivesdk</t>
  </si>
  <si>
    <t>https://drive.google.com/uc?export=view&amp;id=1xgGDHbPpXT_zE4MinyIT5qQutwgONSzH</t>
  </si>
  <si>
    <t>Halmari para selección de personaje.png</t>
  </si>
  <si>
    <t>Halmari para selección de personaje</t>
  </si>
  <si>
    <t>1MXJPC0hpcdKs1icWImlNfy_8W_B-ocmr</t>
  </si>
  <si>
    <t>https://drive.google.com/file/d/1MXJPC0hpcdKs1icWImlNfy_8W_B-ocmr/view?usp=drivesdk</t>
  </si>
  <si>
    <t>https://drive.google.com/uc?export=view&amp;id=1MXJPC0hpcdKs1icWImlNfy_8W_B-ocmr</t>
  </si>
  <si>
    <t>Halo sagrado.png</t>
  </si>
  <si>
    <t>Halo sagrado</t>
  </si>
  <si>
    <t>18OnWHfoTFMjmMICIL2ylYVdIs4F3wonr</t>
  </si>
  <si>
    <t>https://drive.google.com/file/d/18OnWHfoTFMjmMICIL2ylYVdIs4F3wonr/view?usp=drivesdk</t>
  </si>
  <si>
    <t>https://drive.google.com/uc?export=view&amp;id=18OnWHfoTFMjmMICIL2ylYVdIs4F3wonr</t>
  </si>
  <si>
    <t>Harina.png</t>
  </si>
  <si>
    <t>Harina</t>
  </si>
  <si>
    <t>1kI-JQ7BRuuZ0qy7LFN_bqNFnNSJKXX2l</t>
  </si>
  <si>
    <t>https://drive.google.com/file/d/1kI-JQ7BRuuZ0qy7LFN_bqNFnNSJKXX2l/view?usp=drivesdk</t>
  </si>
  <si>
    <t>https://drive.google.com/uc?export=view&amp;id=1kI-JQ7BRuuZ0qy7LFN_bqNFnNSJKXX2l</t>
  </si>
  <si>
    <t>Hechicero experto.png</t>
  </si>
  <si>
    <t>Hechicero experto</t>
  </si>
  <si>
    <t>1x4bCvEfqQ_YSWTZQYQO73M-SPhPpUCTu</t>
  </si>
  <si>
    <t>https://drive.google.com/file/d/1x4bCvEfqQ_YSWTZQYQO73M-SPhPpUCTu/view?usp=drivesdk</t>
  </si>
  <si>
    <t>https://drive.google.com/uc?export=view&amp;id=1x4bCvEfqQ_YSWTZQYQO73M-SPhPpUCTu</t>
  </si>
  <si>
    <t>Hechizar Persona.png</t>
  </si>
  <si>
    <t>Hechizar Persona</t>
  </si>
  <si>
    <t>1NxdecZQ-AS1BUzteKgk8-6gyD0LCgqYd</t>
  </si>
  <si>
    <t>https://drive.google.com/file/d/1NxdecZQ-AS1BUzteKgk8-6gyD0LCgqYd/view?usp=drivesdk</t>
  </si>
  <si>
    <t>https://drive.google.com/uc?export=view&amp;id=1NxdecZQ-AS1BUzteKgk8-6gyD0LCgqYd</t>
  </si>
  <si>
    <t>Hechizar Persona_bw.png</t>
  </si>
  <si>
    <t>Hechizar Persona bw</t>
  </si>
  <si>
    <t>1-eg8IHqyP-oWTUUgxIJMDImPUFA3VzXi</t>
  </si>
  <si>
    <t>https://drive.google.com/file/d/1-eg8IHqyP-oWTUUgxIJMDImPUFA3VzXi/view?usp=drivesdk</t>
  </si>
  <si>
    <t>https://drive.google.com/uc?export=view&amp;id=1-eg8IHqyP-oWTUUgxIJMDImPUFA3VzXi</t>
  </si>
  <si>
    <t>Hechizo de Pasividad.png</t>
  </si>
  <si>
    <t>Hechizo de Pasividad</t>
  </si>
  <si>
    <t>1l7jSws-F3WhYK4TJLHwPDeeQZ7z-YeUl</t>
  </si>
  <si>
    <t>https://drive.google.com/file/d/1l7jSws-F3WhYK4TJLHwPDeeQZ7z-YeUl/view?usp=drivesdk</t>
  </si>
  <si>
    <t>https://drive.google.com/uc?export=view&amp;id=1l7jSws-F3WhYK4TJLHwPDeeQZ7z-YeUl</t>
  </si>
  <si>
    <t>Hendedura.png</t>
  </si>
  <si>
    <t>Hendedura</t>
  </si>
  <si>
    <t>1lT7TXEumt4vwNSWlJHv-rQlP7AmR4ej5</t>
  </si>
  <si>
    <t>https://drive.google.com/file/d/1lT7TXEumt4vwNSWlJHv-rQlP7AmR4ej5/view?usp=drivesdk</t>
  </si>
  <si>
    <t>https://drive.google.com/uc?export=view&amp;id=1lT7TXEumt4vwNSWlJHv-rQlP7AmR4ej5</t>
  </si>
  <si>
    <t>Herencia Mísitica.png</t>
  </si>
  <si>
    <t>Herencia Mísitica</t>
  </si>
  <si>
    <t>1S-fOqI_m41G5YNReShxiy7ZOBhuapthk</t>
  </si>
  <si>
    <t>https://drive.google.com/file/d/1S-fOqI_m41G5YNReShxiy7ZOBhuapthk/view?usp=drivesdk</t>
  </si>
  <si>
    <t>https://drive.google.com/uc?export=view&amp;id=1S-fOqI_m41G5YNReShxiy7ZOBhuapthk</t>
  </si>
  <si>
    <t>Hermano de la Piedad.png</t>
  </si>
  <si>
    <t>Hermano de la Piedad</t>
  </si>
  <si>
    <t>1wiqKTVAnlXMEAPMApWTta1FG0p-W04ki</t>
  </si>
  <si>
    <t>https://drive.google.com/file/d/1wiqKTVAnlXMEAPMApWTta1FG0p-W04ki/view?usp=drivesdk</t>
  </si>
  <si>
    <t>https://drive.google.com/uc?export=view&amp;id=1wiqKTVAnlXMEAPMApWTta1FG0p-W04ki</t>
  </si>
  <si>
    <t>Herradura.png</t>
  </si>
  <si>
    <t>Herradura</t>
  </si>
  <si>
    <t>1VhX-hTs3dPv8VXNFg4l7bYfMq8fXnNdp</t>
  </si>
  <si>
    <t>https://drive.google.com/file/d/1VhX-hTs3dPv8VXNFg4l7bYfMq8fXnNdp/view?usp=drivesdk</t>
  </si>
  <si>
    <t>https://drive.google.com/uc?export=view&amp;id=1VhX-hTs3dPv8VXNFg4l7bYfMq8fXnNdp</t>
  </si>
  <si>
    <t>Hierbas Aromáticas.png</t>
  </si>
  <si>
    <t>Hierbas Aromáticas</t>
  </si>
  <si>
    <t>1saa31k6jkLDZB5oBspG3smmdjNZFqE1-</t>
  </si>
  <si>
    <t>https://drive.google.com/file/d/1saa31k6jkLDZB5oBspG3smmdjNZFqE1-/view?usp=drivesdk</t>
  </si>
  <si>
    <t>https://drive.google.com/uc?export=view&amp;id=1saa31k6jkLDZB5oBspG3smmdjNZFqE1-</t>
  </si>
  <si>
    <t>Himno de Batalla.png</t>
  </si>
  <si>
    <t>Himno de Batalla</t>
  </si>
  <si>
    <t>1SiGz51S9uA6SemaywcrKX9bj_EYxzwaf</t>
  </si>
  <si>
    <t>https://drive.google.com/file/d/1SiGz51S9uA6SemaywcrKX9bj_EYxzwaf/view?usp=drivesdk</t>
  </si>
  <si>
    <t>https://drive.google.com/uc?export=view&amp;id=1SiGz51S9uA6SemaywcrKX9bj_EYxzwaf</t>
  </si>
  <si>
    <t>Historia.png</t>
  </si>
  <si>
    <t>Historia</t>
  </si>
  <si>
    <t>1phUBNQIfnUm4En0r2yL8mfpVDCV4mUln</t>
  </si>
  <si>
    <t>https://drive.google.com/file/d/1phUBNQIfnUm4En0r2yL8mfpVDCV4mUln/view?usp=drivesdk</t>
  </si>
  <si>
    <t>https://drive.google.com/uc?export=view&amp;id=1phUBNQIfnUm4En0r2yL8mfpVDCV4mUln</t>
  </si>
  <si>
    <t>Hombrera de cuero tachonado.png</t>
  </si>
  <si>
    <t>Hombrera de cuero tachonado</t>
  </si>
  <si>
    <t>1NA91jC0qRT0Yh0oGRsE3DPnWdY6v4L3r</t>
  </si>
  <si>
    <t>https://drive.google.com/file/d/1NA91jC0qRT0Yh0oGRsE3DPnWdY6v4L3r/view?usp=drivesdk</t>
  </si>
  <si>
    <t>https://drive.google.com/uc?export=view&amp;id=1NA91jC0qRT0Yh0oGRsE3DPnWdY6v4L3r</t>
  </si>
  <si>
    <t>Hombreras de cuero.png</t>
  </si>
  <si>
    <t>Hombreras de cuero</t>
  </si>
  <si>
    <t>1zv0zojhwyqzdfxGz2sjJyAfr40gz3kbW</t>
  </si>
  <si>
    <t>https://drive.google.com/file/d/1zv0zojhwyqzdfxGz2sjJyAfr40gz3kbW/view?usp=drivesdk</t>
  </si>
  <si>
    <t>https://drive.google.com/uc?export=view&amp;id=1zv0zojhwyqzdfxGz2sjJyAfr40gz3kbW</t>
  </si>
  <si>
    <t>Hombreras de placas.png</t>
  </si>
  <si>
    <t>Hombreras de placas</t>
  </si>
  <si>
    <t>1LXa0uRVWHeWXKR0aUY9m5jlzW_V8xQc9</t>
  </si>
  <si>
    <t>https://drive.google.com/file/d/1LXa0uRVWHeWXKR0aUY9m5jlzW_V8xQc9/view?usp=drivesdk</t>
  </si>
  <si>
    <t>https://drive.google.com/uc?export=view&amp;id=1LXa0uRVWHeWXKR0aUY9m5jlzW_V8xQc9</t>
  </si>
  <si>
    <t>Hombros Generico.png</t>
  </si>
  <si>
    <t>Hombros Generico</t>
  </si>
  <si>
    <t>1hM9JpwWGKr-B5oOoo9kQmNN5Cc-UVbed</t>
  </si>
  <si>
    <t>https://drive.google.com/file/d/1hM9JpwWGKr-B5oOoo9kQmNN5Cc-UVbed/view?usp=drivesdk</t>
  </si>
  <si>
    <t>https://drive.google.com/uc?export=view&amp;id=1hM9JpwWGKr-B5oOoo9kQmNN5Cc-UVbed</t>
  </si>
  <si>
    <t>Honda.png</t>
  </si>
  <si>
    <t>Honda</t>
  </si>
  <si>
    <t>1NenEi32986ScJHYRIqEVwPpk0GsMiEv2</t>
  </si>
  <si>
    <t>https://drive.google.com/file/d/1NenEi32986ScJHYRIqEVwPpk0GsMiEv2/view?usp=drivesdk</t>
  </si>
  <si>
    <t>https://drive.google.com/uc?export=view&amp;id=1NenEi32986ScJHYRIqEVwPpk0GsMiEv2</t>
  </si>
  <si>
    <t>Hongo azul.png</t>
  </si>
  <si>
    <t>Hongo azul</t>
  </si>
  <si>
    <t>1dNqRxufn_zbgmy_ZPbLKzFTtZGhpFAoA</t>
  </si>
  <si>
    <t>https://drive.google.com/file/d/1dNqRxufn_zbgmy_ZPbLKzFTtZGhpFAoA/view?usp=drivesdk</t>
  </si>
  <si>
    <t>https://drive.google.com/uc?export=view&amp;id=1dNqRxufn_zbgmy_ZPbLKzFTtZGhpFAoA</t>
  </si>
  <si>
    <t>Hongo rojo.png</t>
  </si>
  <si>
    <t>Hongo rojo</t>
  </si>
  <si>
    <t>1DqStbTb2OYleZiZ1KkWu6A2BvQybjNMZ</t>
  </si>
  <si>
    <t>https://drive.google.com/file/d/1DqStbTb2OYleZiZ1KkWu6A2BvQybjNMZ/view?usp=drivesdk</t>
  </si>
  <si>
    <t>https://drive.google.com/uc?export=view&amp;id=1DqStbTb2OYleZiZ1KkWu6A2BvQybjNMZ</t>
  </si>
  <si>
    <t>Horca.png</t>
  </si>
  <si>
    <t>Horca</t>
  </si>
  <si>
    <t>1NfPGW8fgvaw9X6oOCuAjVPi-f5iBC_Rb</t>
  </si>
  <si>
    <t>https://drive.google.com/file/d/1NfPGW8fgvaw9X6oOCuAjVPi-f5iBC_Rb/view?usp=drivesdk</t>
  </si>
  <si>
    <t>https://drive.google.com/uc?export=view&amp;id=1NfPGW8fgvaw9X6oOCuAjVPi-f5iBC_Rb</t>
  </si>
  <si>
    <t>Hoz.png</t>
  </si>
  <si>
    <t>Hoz</t>
  </si>
  <si>
    <t>167GLm59pI8NOs73uxn8PJQdssoQAOPQn</t>
  </si>
  <si>
    <t>https://drive.google.com/file/d/167GLm59pI8NOs73uxn8PJQdssoQAOPQn/view?usp=drivesdk</t>
  </si>
  <si>
    <t>https://drive.google.com/uc?export=view&amp;id=167GLm59pI8NOs73uxn8PJQdssoQAOPQn</t>
  </si>
  <si>
    <t>Humano.png</t>
  </si>
  <si>
    <t>Humano</t>
  </si>
  <si>
    <t>1auFaj52X5ZJVvKrTnCctfCqMQEUftPRY</t>
  </si>
  <si>
    <t>https://drive.google.com/file/d/1auFaj52X5ZJVvKrTnCctfCqMQEUftPRY/view?usp=drivesdk</t>
  </si>
  <si>
    <t>https://drive.google.com/uc?export=view&amp;id=1auFaj52X5ZJVvKrTnCctfCqMQEUftPRY</t>
  </si>
  <si>
    <t>HUMANO_FEMENINO.png</t>
  </si>
  <si>
    <t>HUMANO FEMENINO</t>
  </si>
  <si>
    <t>1C7yD1F75FmpxNp0PAJrtk9IAqQVpa2Cg</t>
  </si>
  <si>
    <t>https://drive.google.com/file/d/1C7yD1F75FmpxNp0PAJrtk9IAqQVpa2Cg/view?usp=drivesdk</t>
  </si>
  <si>
    <t>https://drive.google.com/uc?export=view&amp;id=1C7yD1F75FmpxNp0PAJrtk9IAqQVpa2Cg</t>
  </si>
  <si>
    <t>Humano para selección de personaje.png</t>
  </si>
  <si>
    <t>Humano para selección de personaje</t>
  </si>
  <si>
    <t>1yu8d9JOreIDK6A05WKSxhvkgjuiANHnE</t>
  </si>
  <si>
    <t>https://drive.google.com/file/d/1yu8d9JOreIDK6A05WKSxhvkgjuiANHnE/view?usp=drivesdk</t>
  </si>
  <si>
    <t>https://drive.google.com/uc?export=view&amp;id=1yu8d9JOreIDK6A05WKSxhvkgjuiANHnE</t>
  </si>
  <si>
    <t>Hurto inadvertido.png</t>
  </si>
  <si>
    <t>Hurto inadvertido</t>
  </si>
  <si>
    <t>1us50wsFXYB5mrITkHF_wFTlaBcDrj8SA</t>
  </si>
  <si>
    <t>https://drive.google.com/file/d/1us50wsFXYB5mrITkHF_wFTlaBcDrj8SA/view?usp=drivesdk</t>
  </si>
  <si>
    <t>https://drive.google.com/uc?export=view&amp;id=1us50wsFXYB5mrITkHF_wFTlaBcDrj8SA</t>
  </si>
  <si>
    <t>Hurto inadvertido_bw.png</t>
  </si>
  <si>
    <t>Hurto inadvertido bw</t>
  </si>
  <si>
    <t>1vcHBFVW63EcgwrdFDr-4VSh7OeVUz0SA</t>
  </si>
  <si>
    <t>https://drive.google.com/file/d/1vcHBFVW63EcgwrdFDr-4VSh7OeVUz0SA/view?usp=drivesdk</t>
  </si>
  <si>
    <t>https://drive.google.com/uc?export=view&amp;id=1vcHBFVW63EcgwrdFDr-4VSh7OeVUz0SA</t>
  </si>
  <si>
    <t>Ignora Armadura.png</t>
  </si>
  <si>
    <t>Ignora Armadura</t>
  </si>
  <si>
    <t>1BtfMLlIe_g_RDufjy5eLb_OB_HHA2Ve4</t>
  </si>
  <si>
    <t>https://drive.google.com/file/d/1BtfMLlIe_g_RDufjy5eLb_OB_HHA2Ve4/view?usp=drivesdk</t>
  </si>
  <si>
    <t>https://drive.google.com/uc?export=view&amp;id=1BtfMLlIe_g_RDufjy5eLb_OB_HHA2Ve4</t>
  </si>
  <si>
    <t>Imagen silenciosa.png</t>
  </si>
  <si>
    <t>Imagen silenciosa</t>
  </si>
  <si>
    <t>1CxNucdgc2VtMS5oxfkmJZ3i0snZwr-h0</t>
  </si>
  <si>
    <t>https://drive.google.com/file/d/1CxNucdgc2VtMS5oxfkmJZ3i0snZwr-h0/view?usp=drivesdk</t>
  </si>
  <si>
    <t>https://drive.google.com/uc?export=view&amp;id=1CxNucdgc2VtMS5oxfkmJZ3i0snZwr-h0</t>
  </si>
  <si>
    <t>Imagen silenciosa_bw.png</t>
  </si>
  <si>
    <t>Imagen silenciosa bw</t>
  </si>
  <si>
    <t>1NIDybmVDt2bzu8tWYcm2qxOScJwkqbt9</t>
  </si>
  <si>
    <t>https://drive.google.com/file/d/1NIDybmVDt2bzu8tWYcm2qxOScJwkqbt9/view?usp=drivesdk</t>
  </si>
  <si>
    <t>https://drive.google.com/uc?export=view&amp;id=1NIDybmVDt2bzu8tWYcm2qxOScJwkqbt9</t>
  </si>
  <si>
    <t>Imponer manos.png</t>
  </si>
  <si>
    <t>Imponer manos</t>
  </si>
  <si>
    <t>1Zaaq8irR0ZdZ7aJrdLKdTeTaAHeIrmFg</t>
  </si>
  <si>
    <t>https://drive.google.com/file/d/1Zaaq8irR0ZdZ7aJrdLKdTeTaAHeIrmFg/view?usp=drivesdk</t>
  </si>
  <si>
    <t>https://drive.google.com/uc?export=view&amp;id=1Zaaq8irR0ZdZ7aJrdLKdTeTaAHeIrmFg</t>
  </si>
  <si>
    <t>Incapacitado.jpg</t>
  </si>
  <si>
    <t>Incapacitado</t>
  </si>
  <si>
    <t>1YPoGSC23liLX7OQTFemOk12gkAvcfoda</t>
  </si>
  <si>
    <t>https://drive.google.com/file/d/1YPoGSC23liLX7OQTFemOk12gkAvcfoda/view?usp=drivesdk</t>
  </si>
  <si>
    <t>https://drive.google.com/uc?export=view&amp;id=1YPoGSC23liLX7OQTFemOk12gkAvcfoda</t>
  </si>
  <si>
    <t>Incendiario Terra-Ita.png</t>
  </si>
  <si>
    <t>Incendiario Terra-Ita</t>
  </si>
  <si>
    <t>1H7DuTHJNssKJsGKmAUUcRVL_EjqvllJV</t>
  </si>
  <si>
    <t>https://drive.google.com/file/d/1H7DuTHJNssKJsGKmAUUcRVL_EjqvllJV/view?usp=drivesdk</t>
  </si>
  <si>
    <t>https://drive.google.com/uc?export=view&amp;id=1H7DuTHJNssKJsGKmAUUcRVL_EjqvllJV</t>
  </si>
  <si>
    <t>Inconsciente.jpg</t>
  </si>
  <si>
    <t>Inconsciente</t>
  </si>
  <si>
    <t>1MA36gZBmepFVyydjCpIqlyQQgRg78v0q</t>
  </si>
  <si>
    <t>https://drive.google.com/file/d/1MA36gZBmepFVyydjCpIqlyQQgRg78v0q/view?usp=drivesdk</t>
  </si>
  <si>
    <t>https://drive.google.com/uc?export=view&amp;id=1MA36gZBmepFVyydjCpIqlyQQgRg78v0q</t>
  </si>
  <si>
    <t>Indomable.png</t>
  </si>
  <si>
    <t>Indomable</t>
  </si>
  <si>
    <t>1I5fEpTIEZzaLsaJgZxcvkv2L81nUXg1F</t>
  </si>
  <si>
    <t>https://drive.google.com/file/d/1I5fEpTIEZzaLsaJgZxcvkv2L81nUXg1F/view?usp=drivesdk</t>
  </si>
  <si>
    <t>https://drive.google.com/uc?export=view&amp;id=1I5fEpTIEZzaLsaJgZxcvkv2L81nUXg1F</t>
  </si>
  <si>
    <t>Infante Gnosshiano.png</t>
  </si>
  <si>
    <t>Infante Gnosshiano</t>
  </si>
  <si>
    <t>1Wd_2Vgzy95dcTBTs1c_a9yX3c7Cm01ou</t>
  </si>
  <si>
    <t>https://drive.google.com/file/d/1Wd_2Vgzy95dcTBTs1c_a9yX3c7Cm01ou/view?usp=drivesdk</t>
  </si>
  <si>
    <t>https://drive.google.com/uc?export=view&amp;id=1Wd_2Vgzy95dcTBTs1c_a9yX3c7Cm01ou</t>
  </si>
  <si>
    <t>Infantería de línea.png</t>
  </si>
  <si>
    <t>Infantería de línea</t>
  </si>
  <si>
    <t>1mAQ75I5Q_AywE-PvVvI01t4BKZMz9pq1</t>
  </si>
  <si>
    <t>https://drive.google.com/file/d/1mAQ75I5Q_AywE-PvVvI01t4BKZMz9pq1/view?usp=drivesdk</t>
  </si>
  <si>
    <t>https://drive.google.com/uc?export=view&amp;id=1mAQ75I5Q_AywE-PvVvI01t4BKZMz9pq1</t>
  </si>
  <si>
    <t>Iniciativa Improvisada.png</t>
  </si>
  <si>
    <t>Iniciativa Improvisada</t>
  </si>
  <si>
    <t>1n0IAOmk6qKU6E6OmICHZ7eMinLG1SKmh</t>
  </si>
  <si>
    <t>https://drive.google.com/file/d/1n0IAOmk6qKU6E6OmICHZ7eMinLG1SKmh/view?usp=drivesdk</t>
  </si>
  <si>
    <t>https://drive.google.com/uc?export=view&amp;id=1n0IAOmk6qKU6E6OmICHZ7eMinLG1SKmh</t>
  </si>
  <si>
    <t>Inscripciones Arcanas.png</t>
  </si>
  <si>
    <t>Inscripciones Arcanas</t>
  </si>
  <si>
    <t>1t9x0Fov-O94pjrXGrc15pnycoK6P0nXw</t>
  </si>
  <si>
    <t>https://drive.google.com/file/d/1t9x0Fov-O94pjrXGrc15pnycoK6P0nXw/view?usp=drivesdk</t>
  </si>
  <si>
    <t>https://drive.google.com/uc?export=view&amp;id=1t9x0Fov-O94pjrXGrc15pnycoK6P0nXw</t>
  </si>
  <si>
    <t>Inscripciones de Fe.png</t>
  </si>
  <si>
    <t>Inscripciones de Fe</t>
  </si>
  <si>
    <t>1BHjf3a4o4HkPiM-vIK3BGsP9GRT7sPmv</t>
  </si>
  <si>
    <t>https://drive.google.com/file/d/1BHjf3a4o4HkPiM-vIK3BGsP9GRT7sPmv/view?usp=drivesdk</t>
  </si>
  <si>
    <t>https://drive.google.com/uc?export=view&amp;id=1BHjf3a4o4HkPiM-vIK3BGsP9GRT7sPmv</t>
  </si>
  <si>
    <t>Instrucción arcana básica.png</t>
  </si>
  <si>
    <t>Instrucción arcana básica</t>
  </si>
  <si>
    <t>1CN38-cfD5WZkHcIebcO-wINMCBKoljkJ</t>
  </si>
  <si>
    <t>https://drive.google.com/file/d/1CN38-cfD5WZkHcIebcO-wINMCBKoljkJ/view?usp=drivesdk</t>
  </si>
  <si>
    <t>https://drive.google.com/uc?export=view&amp;id=1CN38-cfD5WZkHcIebcO-wINMCBKoljkJ</t>
  </si>
  <si>
    <t>Integridad del cuerpo.png</t>
  </si>
  <si>
    <t>Integridad del cuerpo</t>
  </si>
  <si>
    <t>1dP_fWpt5OkCcHPyhpKMW2JpfmLLPAgfz</t>
  </si>
  <si>
    <t>https://drive.google.com/file/d/1dP_fWpt5OkCcHPyhpKMW2JpfmLLPAgfz/view?usp=drivesdk</t>
  </si>
  <si>
    <t>https://drive.google.com/uc?export=view&amp;id=1dP_fWpt5OkCcHPyhpKMW2JpfmLLPAgfz</t>
  </si>
  <si>
    <t>Integridad del cuerpo_bw.png</t>
  </si>
  <si>
    <t>Integridad del cuerpo bw</t>
  </si>
  <si>
    <t>1YM-n7yxGYr6dpRUeGdcIcEo3s_l4JIhg</t>
  </si>
  <si>
    <t>https://drive.google.com/file/d/1YM-n7yxGYr6dpRUeGdcIcEo3s_l4JIhg/view?usp=drivesdk</t>
  </si>
  <si>
    <t>https://drive.google.com/uc?export=view&amp;id=1YM-n7yxGYr6dpRUeGdcIcEo3s_l4JIhg</t>
  </si>
  <si>
    <t>Inteligencia.png</t>
  </si>
  <si>
    <t>Inteligencia</t>
  </si>
  <si>
    <t>118IjFZe6cnyZq4WjF1XGOMvOGDXviSUP</t>
  </si>
  <si>
    <t>https://drive.google.com/file/d/118IjFZe6cnyZq4WjF1XGOMvOGDXviSUP/view?usp=drivesdk</t>
  </si>
  <si>
    <t>https://drive.google.com/uc?export=view&amp;id=118IjFZe6cnyZq4WjF1XGOMvOGDXviSUP</t>
  </si>
  <si>
    <t>Interceptor Alfarh.png</t>
  </si>
  <si>
    <t>Interceptor Alfarh</t>
  </si>
  <si>
    <t>1JalMVjqUlbtfH0S8bsWEW31k28fQBVh0</t>
  </si>
  <si>
    <t>https://drive.google.com/file/d/1JalMVjqUlbtfH0S8bsWEW31k28fQBVh0/view?usp=drivesdk</t>
  </si>
  <si>
    <t>https://drive.google.com/uc?export=view&amp;id=1JalMVjqUlbtfH0S8bsWEW31k28fQBVh0</t>
  </si>
  <si>
    <t>Intervenir.png</t>
  </si>
  <si>
    <t>Intervenir</t>
  </si>
  <si>
    <t>1NYEG8fqrKLKirOGqTHR7WCC7x4-21bde</t>
  </si>
  <si>
    <t>https://drive.google.com/file/d/1NYEG8fqrKLKirOGqTHR7WCC7x4-21bde/view?usp=drivesdk</t>
  </si>
  <si>
    <t>https://drive.google.com/uc?export=view&amp;id=1NYEG8fqrKLKirOGqTHR7WCC7x4-21bde</t>
  </si>
  <si>
    <t>Intervenir_bw.png</t>
  </si>
  <si>
    <t>Intervenir bw</t>
  </si>
  <si>
    <t>1sINMJGDfrB2K0jSBhlyOz21jngyhgJTD</t>
  </si>
  <si>
    <t>https://drive.google.com/file/d/1sINMJGDfrB2K0jSBhlyOz21jngyhgJTD/view?usp=drivesdk</t>
  </si>
  <si>
    <t>https://drive.google.com/uc?export=view&amp;id=1sINMJGDfrB2K0jSBhlyOz21jngyhgJTD</t>
  </si>
  <si>
    <t>Intimidacion.png</t>
  </si>
  <si>
    <t>Intimidacion</t>
  </si>
  <si>
    <t>1tPNwzKIHfrluxrCPKlpGpqHFNQtdMNs4</t>
  </si>
  <si>
    <t>https://drive.google.com/file/d/1tPNwzKIHfrluxrCPKlpGpqHFNQtdMNs4/view?usp=drivesdk</t>
  </si>
  <si>
    <t>https://drive.google.com/uc?export=view&amp;id=1tPNwzKIHfrluxrCPKlpGpqHFNQtdMNs4</t>
  </si>
  <si>
    <t>Invisibilidad.png</t>
  </si>
  <si>
    <t>Invisibilidad</t>
  </si>
  <si>
    <t>1l99LFL4u4jg3X_ndm4bQy1dXsMyao2LV</t>
  </si>
  <si>
    <t>https://drive.google.com/file/d/1l99LFL4u4jg3X_ndm4bQy1dXsMyao2LV/view?usp=drivesdk</t>
  </si>
  <si>
    <t>https://drive.google.com/uc?export=view&amp;id=1l99LFL4u4jg3X_ndm4bQy1dXsMyao2LV</t>
  </si>
  <si>
    <t>Invisibilidad_bw.png</t>
  </si>
  <si>
    <t>Invisibilidad bw</t>
  </si>
  <si>
    <t>1QN9_LavK3h-1Ps3R2WmgCdXKuhaH_Y5v</t>
  </si>
  <si>
    <t>https://drive.google.com/file/d/1QN9_LavK3h-1Ps3R2WmgCdXKuhaH_Y5v/view?usp=drivesdk</t>
  </si>
  <si>
    <t>https://drive.google.com/uc?export=view&amp;id=1QN9_LavK3h-1Ps3R2WmgCdXKuhaH_Y5v</t>
  </si>
  <si>
    <t>Invisible.jpg</t>
  </si>
  <si>
    <t>Invisible</t>
  </si>
  <si>
    <t>1CTlQF2I-wwyoHLdLWzOiOnn8gHvn-ftY</t>
  </si>
  <si>
    <t>https://drive.google.com/file/d/1CTlQF2I-wwyoHLdLWzOiOnn8gHvn-ftY/view?usp=drivesdk</t>
  </si>
  <si>
    <t>https://drive.google.com/uc?export=view&amp;id=1CTlQF2I-wwyoHLdLWzOiOnn8gHvn-ftY</t>
  </si>
  <si>
    <t>Invocación del pacto.png</t>
  </si>
  <si>
    <t>Invocación del pacto</t>
  </si>
  <si>
    <t>15L-UTiztJJi0wZfOVsvzfloZ3moSn8hy</t>
  </si>
  <si>
    <t>https://drive.google.com/file/d/15L-UTiztJJi0wZfOVsvzfloZ3moSn8hy/view?usp=drivesdk</t>
  </si>
  <si>
    <t>https://drive.google.com/uc?export=view&amp;id=15L-UTiztJJi0wZfOVsvzfloZ3moSn8hy</t>
  </si>
  <si>
    <t>Invocar elemental.png</t>
  </si>
  <si>
    <t>Invocar elemental</t>
  </si>
  <si>
    <t>1tdoFkCgnKQLLcdJlGCAqVxpKC9rllQQZ</t>
  </si>
  <si>
    <t>https://drive.google.com/file/d/1tdoFkCgnKQLLcdJlGCAqVxpKC9rllQQZ/view?usp=drivesdk</t>
  </si>
  <si>
    <t>https://drive.google.com/uc?export=view&amp;id=1tdoFkCgnKQLLcdJlGCAqVxpKC9rllQQZ</t>
  </si>
  <si>
    <t>Invocar elemental_bw.png</t>
  </si>
  <si>
    <t>Invocar elemental bw</t>
  </si>
  <si>
    <t>12HbHJ2jgJlyhaBCh0a0OcYKzneA425Km</t>
  </si>
  <si>
    <t>https://drive.google.com/file/d/12HbHJ2jgJlyhaBCh0a0OcYKzneA425Km/view?usp=drivesdk</t>
  </si>
  <si>
    <t>https://drive.google.com/uc?export=view&amp;id=12HbHJ2jgJlyhaBCh0a0OcYKzneA425Km</t>
  </si>
  <si>
    <t>Invocar familiar.png</t>
  </si>
  <si>
    <t>Invocar familiar</t>
  </si>
  <si>
    <t>1ADDTms_2Sud0W131tEfE1TLgJ4kpv0sh</t>
  </si>
  <si>
    <t>https://drive.google.com/file/d/1ADDTms_2Sud0W131tEfE1TLgJ4kpv0sh/view?usp=drivesdk</t>
  </si>
  <si>
    <t>https://drive.google.com/uc?export=view&amp;id=1ADDTms_2Sud0W131tEfE1TLgJ4kpv0sh</t>
  </si>
  <si>
    <t>Invocar familiar_bw.png</t>
  </si>
  <si>
    <t>Invocar familiar bw</t>
  </si>
  <si>
    <t>1wCL4EHF-PCMKiVPZC8ypNZsLbfy0q3cw</t>
  </si>
  <si>
    <t>https://drive.google.com/file/d/1wCL4EHF-PCMKiVPZC8ypNZsLbfy0q3cw/view?usp=drivesdk</t>
  </si>
  <si>
    <t>https://drive.google.com/uc?export=view&amp;id=1wCL4EHF-PCMKiVPZC8ypNZsLbfy0q3cw</t>
  </si>
  <si>
    <t>Invocar golem.png</t>
  </si>
  <si>
    <t>Invocar golem</t>
  </si>
  <si>
    <t>1T9qJUJM9Tbwvizw0zhw8lKGenqmO2d6A</t>
  </si>
  <si>
    <t>https://drive.google.com/file/d/1T9qJUJM9Tbwvizw0zhw8lKGenqmO2d6A/view?usp=drivesdk</t>
  </si>
  <si>
    <t>https://drive.google.com/uc?export=view&amp;id=1T9qJUJM9Tbwvizw0zhw8lKGenqmO2d6A</t>
  </si>
  <si>
    <t>Invocar golem_bw.png</t>
  </si>
  <si>
    <t>Invocar golem bw</t>
  </si>
  <si>
    <t>1LwR_x8crIPsxMKa6tp8eKMI1yWUF0A-S</t>
  </si>
  <si>
    <t>https://drive.google.com/file/d/1LwR_x8crIPsxMKa6tp8eKMI1yWUF0A-S/view?usp=drivesdk</t>
  </si>
  <si>
    <t>https://drive.google.com/uc?export=view&amp;id=1LwR_x8crIPsxMKa6tp8eKMI1yWUF0A-S</t>
  </si>
  <si>
    <t>Invocar Golem de Carne.png</t>
  </si>
  <si>
    <t>Invocar Golem de Carne</t>
  </si>
  <si>
    <t>1RhPbazngbKh_5YD9HnGgotSiaFXW-3_f</t>
  </si>
  <si>
    <t>https://drive.google.com/file/d/1RhPbazngbKh_5YD9HnGgotSiaFXW-3_f/view?usp=drivesdk</t>
  </si>
  <si>
    <t>https://drive.google.com/uc?export=view&amp;id=1RhPbazngbKh_5YD9HnGgotSiaFXW-3_f</t>
  </si>
  <si>
    <t>Invocar Golem de Carne_bw.png</t>
  </si>
  <si>
    <t>Invocar Golem de Carne bw</t>
  </si>
  <si>
    <t>12EpmKFJszzJYPpGeDf_ES64H9-A7F-4Z</t>
  </si>
  <si>
    <t>https://drive.google.com/file/d/12EpmKFJszzJYPpGeDf_ES64H9-A7F-4Z/view?usp=drivesdk</t>
  </si>
  <si>
    <t>https://drive.google.com/uc?export=view&amp;id=12EpmKFJszzJYPpGeDf_ES64H9-A7F-4Z</t>
  </si>
  <si>
    <t>Invocar luz.png</t>
  </si>
  <si>
    <t>Invocar luz</t>
  </si>
  <si>
    <t>1V760CycNBtZGFEqlHrq1xApLi_NYK832</t>
  </si>
  <si>
    <t>https://drive.google.com/file/d/1V760CycNBtZGFEqlHrq1xApLi_NYK832/view?usp=drivesdk</t>
  </si>
  <si>
    <t>https://drive.google.com/uc?export=view&amp;id=1V760CycNBtZGFEqlHrq1xApLi_NYK832</t>
  </si>
  <si>
    <t>Invocar luz_bw.png</t>
  </si>
  <si>
    <t>Invocar luz bw</t>
  </si>
  <si>
    <t>1W8CrLfu582shF-8iavKMK6_tI-9S2RJ3</t>
  </si>
  <si>
    <t>https://drive.google.com/file/d/1W8CrLfu582shF-8iavKMK6_tI-9S2RJ3/view?usp=drivesdk</t>
  </si>
  <si>
    <t>https://drive.google.com/uc?export=view&amp;id=1W8CrLfu582shF-8iavKMK6_tI-9S2RJ3</t>
  </si>
  <si>
    <t>Ira contenida.png</t>
  </si>
  <si>
    <t>Ira contenida</t>
  </si>
  <si>
    <t>1JtJX9ElfgCnJMDL9rb04p_DbHkSXtYg4</t>
  </si>
  <si>
    <t>https://drive.google.com/file/d/1JtJX9ElfgCnJMDL9rb04p_DbHkSXtYg4/view?usp=drivesdk</t>
  </si>
  <si>
    <t>https://drive.google.com/uc?export=view&amp;id=1JtJX9ElfgCnJMDL9rb04p_DbHkSXtYg4</t>
  </si>
  <si>
    <t>Ira contenida_bw.png</t>
  </si>
  <si>
    <t>Ira contenida bw</t>
  </si>
  <si>
    <t>1dFPHTW2KyZ5GzzQQmIx6PcRm_BAxfRJn</t>
  </si>
  <si>
    <t>https://drive.google.com/file/d/1dFPHTW2KyZ5GzzQQmIx6PcRm_BAxfRJn/view?usp=drivesdk</t>
  </si>
  <si>
    <t>https://drive.google.com/uc?export=view&amp;id=1dFPHTW2KyZ5GzzQQmIx6PcRm_BAxfRJn</t>
  </si>
  <si>
    <t>Jabalina.png</t>
  </si>
  <si>
    <t>Jabalina</t>
  </si>
  <si>
    <t>1GTJ7PSDFuYYBwgPaTemDot-L7n5elm4S</t>
  </si>
  <si>
    <t>https://drive.google.com/file/d/1GTJ7PSDFuYYBwgPaTemDot-L7n5elm4S/view?usp=drivesdk</t>
  </si>
  <si>
    <t>https://drive.google.com/uc?export=view&amp;id=1GTJ7PSDFuYYBwgPaTemDot-L7n5elm4S</t>
  </si>
  <si>
    <t>Jaballero Rompelíneas.png</t>
  </si>
  <si>
    <t>Jaballero Rompelíneas</t>
  </si>
  <si>
    <t>1LfUWXbmz4lvoHSlo-QWCd8s71Wwm6rc1</t>
  </si>
  <si>
    <t>https://drive.google.com/file/d/1LfUWXbmz4lvoHSlo-QWCd8s71Wwm6rc1/view?usp=drivesdk</t>
  </si>
  <si>
    <t>https://drive.google.com/uc?export=view&amp;id=1LfUWXbmz4lvoHSlo-QWCd8s71Wwm6rc1</t>
  </si>
  <si>
    <t>Jaghrah.png</t>
  </si>
  <si>
    <t>Jaghrah</t>
  </si>
  <si>
    <t>1pIBM7bOahJR32hcHT7QBNhlKw2TA4eEZ</t>
  </si>
  <si>
    <t>https://drive.google.com/file/d/1pIBM7bOahJR32hcHT7QBNhlKw2TA4eEZ/view?usp=drivesdk</t>
  </si>
  <si>
    <t>https://drive.google.com/uc?export=view&amp;id=1pIBM7bOahJR32hcHT7QBNhlKw2TA4eEZ</t>
  </si>
  <si>
    <t>Juicio y resurrección.png</t>
  </si>
  <si>
    <t>Juicio y resurrección</t>
  </si>
  <si>
    <t>12UUmbM1ZEbw31-AEKxO-9hPJyv7nc2GR</t>
  </si>
  <si>
    <t>https://drive.google.com/file/d/12UUmbM1ZEbw31-AEKxO-9hPJyv7nc2GR/view?usp=drivesdk</t>
  </si>
  <si>
    <t>https://drive.google.com/uc?export=view&amp;id=12UUmbM1ZEbw31-AEKxO-9hPJyv7nc2GR</t>
  </si>
  <si>
    <t>Kirkvhard.png</t>
  </si>
  <si>
    <t>Kirkvhard</t>
  </si>
  <si>
    <t>1kiHj88q4tLo4v4YS9ArgfBa1ykAn3ZHv</t>
  </si>
  <si>
    <t>https://drive.google.com/file/d/1kiHj88q4tLo4v4YS9ArgfBa1ykAn3ZHv/view?usp=drivesdk</t>
  </si>
  <si>
    <t>https://drive.google.com/uc?export=view&amp;id=1kiHj88q4tLo4v4YS9ArgfBa1ykAn3ZHv</t>
  </si>
  <si>
    <t>Kit de alquimia.png</t>
  </si>
  <si>
    <t>Kit de alquimia</t>
  </si>
  <si>
    <t>1_vaSGGeBurcVJAKki0cS0rZpwrxytn8e</t>
  </si>
  <si>
    <t>https://drive.google.com/file/d/1_vaSGGeBurcVJAKki0cS0rZpwrxytn8e/view?usp=drivesdk</t>
  </si>
  <si>
    <t>https://drive.google.com/uc?export=view&amp;id=1_vaSGGeBurcVJAKki0cS0rZpwrxytn8e</t>
  </si>
  <si>
    <t>Kit de Cocina.png</t>
  </si>
  <si>
    <t>Kit de Cocina</t>
  </si>
  <si>
    <t>1F6IBxy55RqjziMnNgdAoqCDUH2TVgwkX</t>
  </si>
  <si>
    <t>https://drive.google.com/file/d/1F6IBxy55RqjziMnNgdAoqCDUH2TVgwkX/view?usp=drivesdk</t>
  </si>
  <si>
    <t>https://drive.google.com/uc?export=view&amp;id=1F6IBxy55RqjziMnNgdAoqCDUH2TVgwkX</t>
  </si>
  <si>
    <t>Kit de Pinzas y Ganzúas.png</t>
  </si>
  <si>
    <t>Kit de Pinzas y Ganzúas</t>
  </si>
  <si>
    <t>18M5raQVObbocirgliP2le1q24w2c3jZU</t>
  </si>
  <si>
    <t>https://drive.google.com/file/d/18M5raQVObbocirgliP2le1q24w2c3jZU/view?usp=drivesdk</t>
  </si>
  <si>
    <t>https://drive.google.com/uc?export=view&amp;id=18M5raQVObbocirgliP2le1q24w2c3jZU</t>
  </si>
  <si>
    <t>Kit de primeros auxilios.png</t>
  </si>
  <si>
    <t>Kit de primeros auxilios</t>
  </si>
  <si>
    <t>10ZYCD4_mHO0NYuPk_IKcghPMgLzB884r</t>
  </si>
  <si>
    <t>https://drive.google.com/file/d/10ZYCD4_mHO0NYuPk_IKcghPMgLzB884r/view?usp=drivesdk</t>
  </si>
  <si>
    <t>https://drive.google.com/uc?export=view&amp;id=10ZYCD4_mHO0NYuPk_IKcghPMgLzB884r</t>
  </si>
  <si>
    <t>Kit de Trampero.png</t>
  </si>
  <si>
    <t>Kit de Trampero</t>
  </si>
  <si>
    <t>1Gnt50sjfFxQQbqryMcZ34XYsPN2d3izH</t>
  </si>
  <si>
    <t>https://drive.google.com/file/d/1Gnt50sjfFxQQbqryMcZ34XYsPN2d3izH/view?usp=drivesdk</t>
  </si>
  <si>
    <t>https://drive.google.com/uc?export=view&amp;id=1Gnt50sjfFxQQbqryMcZ34XYsPN2d3izH</t>
  </si>
  <si>
    <t>Kryss.png</t>
  </si>
  <si>
    <t>Kryss</t>
  </si>
  <si>
    <t>12DNFcXqjG_lqq5aF49QuN79sWSQddTIz</t>
  </si>
  <si>
    <t>https://drive.google.com/file/d/12DNFcXqjG_lqq5aF49QuN79sWSQddTIz/view?usp=drivesdk</t>
  </si>
  <si>
    <t>https://drive.google.com/uc?export=view&amp;id=12DNFcXqjG_lqq5aF49QuN79sWSQddTIz</t>
  </si>
  <si>
    <t>La senda correcta.png</t>
  </si>
  <si>
    <t>La senda correcta</t>
  </si>
  <si>
    <t>1IL39a-GuL_gbuXki_0te9pXkCyQilu5e</t>
  </si>
  <si>
    <t>https://drive.google.com/file/d/1IL39a-GuL_gbuXki_0te9pXkCyQilu5e/view?usp=drivesdk</t>
  </si>
  <si>
    <t>https://drive.google.com/uc?export=view&amp;id=1IL39a-GuL_gbuXki_0te9pXkCyQilu5e</t>
  </si>
  <si>
    <t>La senda correcta_bw.png</t>
  </si>
  <si>
    <t>La senda correcta bw</t>
  </si>
  <si>
    <t>1U9vUN8C1rsf1vafplzNIIXLOaL3BAOaC</t>
  </si>
  <si>
    <t>https://drive.google.com/file/d/1U9vUN8C1rsf1vafplzNIIXLOaL3BAOaC/view?usp=drivesdk</t>
  </si>
  <si>
    <t>https://drive.google.com/uc?export=view&amp;id=1U9vUN8C1rsf1vafplzNIIXLOaL3BAOaC</t>
  </si>
  <si>
    <t>Lancero Anheym.png</t>
  </si>
  <si>
    <t>Lancero Anheym</t>
  </si>
  <si>
    <t>1tbx-5AEjkhF0TrLMy85cDPDX7PwrnUx1</t>
  </si>
  <si>
    <t>https://drive.google.com/file/d/1tbx-5AEjkhF0TrLMy85cDPDX7PwrnUx1/view?usp=drivesdk</t>
  </si>
  <si>
    <t>https://drive.google.com/uc?export=view&amp;id=1tbx-5AEjkhF0TrLMy85cDPDX7PwrnUx1</t>
  </si>
  <si>
    <t>Lancero Atlander.png</t>
  </si>
  <si>
    <t>Lancero Atlander</t>
  </si>
  <si>
    <t>1CzTrybBGGBJF_iQY4qJQxWGtkNGIERDQ</t>
  </si>
  <si>
    <t>https://drive.google.com/file/d/1CzTrybBGGBJF_iQY4qJQxWGtkNGIERDQ/view?usp=drivesdk</t>
  </si>
  <si>
    <t>https://drive.google.com/uc?export=view&amp;id=1CzTrybBGGBJF_iQY4qJQxWGtkNGIERDQ</t>
  </si>
  <si>
    <t>Lancero de Bernisse.png</t>
  </si>
  <si>
    <t>Lancero de Bernisse</t>
  </si>
  <si>
    <t>1_lgBYz-fZ1jaygOm1sH9HyITL-z1P9Rz</t>
  </si>
  <si>
    <t>https://drive.google.com/file/d/1_lgBYz-fZ1jaygOm1sH9HyITL-z1P9Rz/view?usp=drivesdk</t>
  </si>
  <si>
    <t>https://drive.google.com/uc?export=view&amp;id=1_lgBYz-fZ1jaygOm1sH9HyITL-z1P9Rz</t>
  </si>
  <si>
    <t>Lancero Gnosshiano.png</t>
  </si>
  <si>
    <t>Lancero Gnosshiano</t>
  </si>
  <si>
    <t>1HFu_aDoUl0-CZso7e_xp2XnPBvHbtbp7</t>
  </si>
  <si>
    <t>https://drive.google.com/file/d/1HFu_aDoUl0-CZso7e_xp2XnPBvHbtbp7/view?usp=drivesdk</t>
  </si>
  <si>
    <t>https://drive.google.com/uc?export=view&amp;id=1HFu_aDoUl0-CZso7e_xp2XnPBvHbtbp7</t>
  </si>
  <si>
    <t>Lanza.png</t>
  </si>
  <si>
    <t>Lanza</t>
  </si>
  <si>
    <t>1Fu1Qk2-B1oOCICMOkFuMLmPBzdJeDN3-</t>
  </si>
  <si>
    <t>https://drive.google.com/file/d/1Fu1Qk2-B1oOCICMOkFuMLmPBzdJeDN3-/view?usp=drivesdk</t>
  </si>
  <si>
    <t>https://drive.google.com/uc?export=view&amp;id=1Fu1Qk2-B1oOCICMOkFuMLmPBzdJeDN3-</t>
  </si>
  <si>
    <t>Lanza de caballería.jpg</t>
  </si>
  <si>
    <t>Lanza de caballería</t>
  </si>
  <si>
    <t>1lo5QnHBniduRqwug29ywAR0y3r3l2IUL</t>
  </si>
  <si>
    <t>https://drive.google.com/file/d/1lo5QnHBniduRqwug29ywAR0y3r3l2IUL/view?usp=drivesdk</t>
  </si>
  <si>
    <t>https://drive.google.com/uc?export=view&amp;id=1lo5QnHBniduRqwug29ywAR0y3r3l2IUL</t>
  </si>
  <si>
    <t>Lanzar arma.png</t>
  </si>
  <si>
    <t>Lanzar arma</t>
  </si>
  <si>
    <t>1pCkw27FSrEweMIJ0UMbdRsS_hw2DUNdm</t>
  </si>
  <si>
    <t>https://drive.google.com/file/d/1pCkw27FSrEweMIJ0UMbdRsS_hw2DUNdm/view?usp=drivesdk</t>
  </si>
  <si>
    <t>https://drive.google.com/uc?export=view&amp;id=1pCkw27FSrEweMIJ0UMbdRsS_hw2DUNdm</t>
  </si>
  <si>
    <t>Lanzar arma_bw.png</t>
  </si>
  <si>
    <t>Lanzar arma bw</t>
  </si>
  <si>
    <t>1vuxuQ-6tuYLnrPuFnLInfN9-a2OkKhAq</t>
  </si>
  <si>
    <t>https://drive.google.com/file/d/1vuxuQ-6tuYLnrPuFnLInfN9-a2OkKhAq/view?usp=drivesdk</t>
  </si>
  <si>
    <t>https://drive.google.com/uc?export=view&amp;id=1vuxuQ-6tuYLnrPuFnLInfN9-a2OkKhAq</t>
  </si>
  <si>
    <t>Látigo.png</t>
  </si>
  <si>
    <t>Látigo</t>
  </si>
  <si>
    <t>19yMd3ws7jIn8c4vWskQ-Zl0o-ff8GPW7</t>
  </si>
  <si>
    <t>https://drive.google.com/file/d/19yMd3ws7jIn8c4vWskQ-Zl0o-ff8GPW7/view?usp=drivesdk</t>
  </si>
  <si>
    <t>https://drive.google.com/uc?export=view&amp;id=19yMd3ws7jIn8c4vWskQ-Zl0o-ff8GPW7</t>
  </si>
  <si>
    <t>Laúd.png</t>
  </si>
  <si>
    <t>Laúd</t>
  </si>
  <si>
    <t>1I-cjTzPW0r5WVA-We0KW4HdbsC_C-ppH</t>
  </si>
  <si>
    <t>https://drive.google.com/file/d/1I-cjTzPW0r5WVA-We0KW4HdbsC_C-ppH/view?usp=drivesdk</t>
  </si>
  <si>
    <t>https://drive.google.com/uc?export=view&amp;id=1I-cjTzPW0r5WVA-We0KW4HdbsC_C-ppH</t>
  </si>
  <si>
    <t>Leche.png</t>
  </si>
  <si>
    <t>Leche</t>
  </si>
  <si>
    <t>1yciOSM9MZjv6IRTQAxihBUWZ3NGeK8Ut</t>
  </si>
  <si>
    <t>https://drive.google.com/file/d/1yciOSM9MZjv6IRTQAxihBUWZ3NGeK8Ut/view?usp=drivesdk</t>
  </si>
  <si>
    <t>https://drive.google.com/uc?export=view&amp;id=1yciOSM9MZjv6IRTQAxihBUWZ3NGeK8Ut</t>
  </si>
  <si>
    <t>Lectura arcana.png</t>
  </si>
  <si>
    <t>Lectura arcana</t>
  </si>
  <si>
    <t>1BrFI83qYoK5D8SC3pT8Kpx4ryUjLQeKq</t>
  </si>
  <si>
    <t>https://drive.google.com/file/d/1BrFI83qYoK5D8SC3pT8Kpx4ryUjLQeKq/view?usp=drivesdk</t>
  </si>
  <si>
    <t>https://drive.google.com/uc?export=view&amp;id=1BrFI83qYoK5D8SC3pT8Kpx4ryUjLQeKq</t>
  </si>
  <si>
    <t>Lengüeta de Metal.png</t>
  </si>
  <si>
    <t>Lengüeta de Metal</t>
  </si>
  <si>
    <t>1SudasFtqDjbLwAaTJel6DO01SG1quL02</t>
  </si>
  <si>
    <t>https://drive.google.com/file/d/1SudasFtqDjbLwAaTJel6DO01SG1quL02/view?usp=drivesdk</t>
  </si>
  <si>
    <t>https://drive.google.com/uc?export=view&amp;id=1SudasFtqDjbLwAaTJel6DO01SG1quL02</t>
  </si>
  <si>
    <t>León de Maná.png</t>
  </si>
  <si>
    <t>León de Maná</t>
  </si>
  <si>
    <t>1FMB5_O1mc7rF5iZPfAdc_Eq7pa8ol4sb</t>
  </si>
  <si>
    <t>https://drive.google.com/file/d/1FMB5_O1mc7rF5iZPfAdc_Eq7pa8ol4sb/view?usp=drivesdk</t>
  </si>
  <si>
    <t>https://drive.google.com/uc?export=view&amp;id=1FMB5_O1mc7rF5iZPfAdc_Eq7pa8ol4sb</t>
  </si>
  <si>
    <t>León de Reidhvard.png</t>
  </si>
  <si>
    <t>León de Reidhvard</t>
  </si>
  <si>
    <t>1FMzb0LKlsf3Rv-bW14WQ0YnizQLV-J0U</t>
  </si>
  <si>
    <t>https://drive.google.com/file/d/1FMzb0LKlsf3Rv-bW14WQ0YnizQLV-J0U/view?usp=drivesdk</t>
  </si>
  <si>
    <t>https://drive.google.com/uc?export=view&amp;id=1FMzb0LKlsf3Rv-bW14WQ0YnizQLV-J0U</t>
  </si>
  <si>
    <t>Leva Campesina.png</t>
  </si>
  <si>
    <t>Leva Campesina</t>
  </si>
  <si>
    <t>1U2Y31uD3o6darn73_TsTLUMEt3VcKR9I</t>
  </si>
  <si>
    <t>https://drive.google.com/file/d/1U2Y31uD3o6darn73_TsTLUMEt3VcKR9I/view?usp=drivesdk</t>
  </si>
  <si>
    <t>https://drive.google.com/uc?export=view&amp;id=1U2Y31uD3o6darn73_TsTLUMEt3VcKR9I</t>
  </si>
  <si>
    <t>Neutrales</t>
  </si>
  <si>
    <t>10wvc52nJGZD1QsnF5gM-BZJvG7KrdmNn</t>
  </si>
  <si>
    <t>Leva Campesina con Arco.png</t>
  </si>
  <si>
    <t>Leva Campesina con Arco</t>
  </si>
  <si>
    <t>1V3ZFlcb5RovaeVI4EB8hvOTZ8JLJLCgc</t>
  </si>
  <si>
    <t>https://drive.google.com/file/d/1V3ZFlcb5RovaeVI4EB8hvOTZ8JLJLCgc/view?usp=drivesdk</t>
  </si>
  <si>
    <t>https://drive.google.com/uc?export=view&amp;id=1V3ZFlcb5RovaeVI4EB8hvOTZ8JLJLCgc</t>
  </si>
  <si>
    <t>Leva Praviana.png</t>
  </si>
  <si>
    <t>Leva Praviana</t>
  </si>
  <si>
    <t>1GUzRR6trOQUt66RZcSvEmxx03EnSipKs</t>
  </si>
  <si>
    <t>https://drive.google.com/file/d/1GUzRR6trOQUt66RZcSvEmxx03EnSipKs/view?usp=drivesdk</t>
  </si>
  <si>
    <t>https://drive.google.com/uc?export=view&amp;id=1GUzRR6trOQUt66RZcSvEmxx03EnSipKs</t>
  </si>
  <si>
    <t>Leva Terra-Ita.png</t>
  </si>
  <si>
    <t>Leva Terra-Ita</t>
  </si>
  <si>
    <t>1ZTrPtGomdQ-aLKyOPNpztL8I5kndCFJt</t>
  </si>
  <si>
    <t>https://drive.google.com/file/d/1ZTrPtGomdQ-aLKyOPNpztL8I5kndCFJt/view?usp=drivesdk</t>
  </si>
  <si>
    <t>https://drive.google.com/uc?export=view&amp;id=1ZTrPtGomdQ-aLKyOPNpztL8I5kndCFJt</t>
  </si>
  <si>
    <t>Levadura.png</t>
  </si>
  <si>
    <t>Levadura</t>
  </si>
  <si>
    <t>1dbptzwl3NTJ-cWqwQXl1y8rJzwot8iHp</t>
  </si>
  <si>
    <t>https://drive.google.com/file/d/1dbptzwl3NTJ-cWqwQXl1y8rJzwot8iHp/view?usp=drivesdk</t>
  </si>
  <si>
    <t>https://drive.google.com/uc?export=view&amp;id=1dbptzwl3NTJ-cWqwQXl1y8rJzwot8iHp</t>
  </si>
  <si>
    <t>Levitar.png</t>
  </si>
  <si>
    <t>Levitar</t>
  </si>
  <si>
    <t>1C1coUlPU_A53Ky-r_rFJkfw2tbWOy68S</t>
  </si>
  <si>
    <t>https://drive.google.com/file/d/1C1coUlPU_A53Ky-r_rFJkfw2tbWOy68S/view?usp=drivesdk</t>
  </si>
  <si>
    <t>https://drive.google.com/uc?export=view&amp;id=1C1coUlPU_A53Ky-r_rFJkfw2tbWOy68S</t>
  </si>
  <si>
    <t>Levitar_bw.png</t>
  </si>
  <si>
    <t>Levitar bw</t>
  </si>
  <si>
    <t>1nu2deYE_M31sViSUi1-UgxoxpnXU4xoe</t>
  </si>
  <si>
    <t>https://drive.google.com/file/d/1nu2deYE_M31sViSUi1-UgxoxpnXU4xoe/view?usp=drivesdk</t>
  </si>
  <si>
    <t>https://drive.google.com/uc?export=view&amp;id=1nu2deYE_M31sViSUi1-UgxoxpnXU4xoe</t>
  </si>
  <si>
    <t>Limón.png</t>
  </si>
  <si>
    <t>Limón</t>
  </si>
  <si>
    <t>1Dunt_yGD5LAsxpzsXjqhauM4ikXqBqTq</t>
  </si>
  <si>
    <t>https://drive.google.com/file/d/1Dunt_yGD5LAsxpzsXjqhauM4ikXqBqTq/view?usp=drivesdk</t>
  </si>
  <si>
    <t>https://drive.google.com/uc?export=view&amp;id=1Dunt_yGD5LAsxpzsXjqhauM4ikXqBqTq</t>
  </si>
  <si>
    <t>Linaje Faérico.png</t>
  </si>
  <si>
    <t>Linaje Faérico</t>
  </si>
  <si>
    <t>1jPhtWPB0UKpU6-w0XGFSg66zq_V1dcmx</t>
  </si>
  <si>
    <t>https://drive.google.com/file/d/1jPhtWPB0UKpU6-w0XGFSg66zq_V1dcmx/view?usp=drivesdk</t>
  </si>
  <si>
    <t>https://drive.google.com/uc?export=view&amp;id=1jPhtWPB0UKpU6-w0XGFSg66zq_V1dcmx</t>
  </si>
  <si>
    <t>Lingote de hierro.jpg</t>
  </si>
  <si>
    <t>Lingote de hierro</t>
  </si>
  <si>
    <t>1gy54tJJHdyh5lkYYazoIpBtBWOYrWRDE</t>
  </si>
  <si>
    <t>https://drive.google.com/file/d/1gy54tJJHdyh5lkYYazoIpBtBWOYrWRDE/view?usp=drivesdk</t>
  </si>
  <si>
    <t>https://drive.google.com/uc?export=view&amp;id=1gy54tJJHdyh5lkYYazoIpBtBWOYrWRDE</t>
  </si>
  <si>
    <t>Lira.png</t>
  </si>
  <si>
    <t>Lira</t>
  </si>
  <si>
    <t>1Fia9cIwP3SGFVexKflGg1wtzasfld3Sr</t>
  </si>
  <si>
    <t>https://drive.google.com/file/d/1Fia9cIwP3SGFVexKflGg1wtzasfld3Sr/view?usp=drivesdk</t>
  </si>
  <si>
    <t>https://drive.google.com/uc?export=view&amp;id=1Fia9cIwP3SGFVexKflGg1wtzasfld3Sr</t>
  </si>
  <si>
    <t>Lisiar.png</t>
  </si>
  <si>
    <t>Lisiar</t>
  </si>
  <si>
    <t>11xoSDd9mQbhNQSS9nj-6XwFt7eokp5Vg</t>
  </si>
  <si>
    <t>https://drive.google.com/file/d/11xoSDd9mQbhNQSS9nj-6XwFt7eokp5Vg/view?usp=drivesdk</t>
  </si>
  <si>
    <t>https://drive.google.com/uc?export=view&amp;id=11xoSDd9mQbhNQSS9nj-6XwFt7eokp5Vg</t>
  </si>
  <si>
    <t>Llamado a las Armas.png</t>
  </si>
  <si>
    <t>Llamado a las Armas</t>
  </si>
  <si>
    <t>1VRLFcGq39wl0IYzyo8rBCF2CfanoyXcm</t>
  </si>
  <si>
    <t>https://drive.google.com/file/d/1VRLFcGq39wl0IYzyo8rBCF2CfanoyXcm/view?usp=drivesdk</t>
  </si>
  <si>
    <t>https://drive.google.com/uc?export=view&amp;id=1VRLFcGq39wl0IYzyo8rBCF2CfanoyXcm</t>
  </si>
  <si>
    <t>Llamado de lo salvaje.png</t>
  </si>
  <si>
    <t>Llamado de lo salvaje</t>
  </si>
  <si>
    <t>1pdAgi2XCRHXnX5Z-fyPCMO3sRlFpjkDM</t>
  </si>
  <si>
    <t>https://drive.google.com/file/d/1pdAgi2XCRHXnX5Z-fyPCMO3sRlFpjkDM/view?usp=drivesdk</t>
  </si>
  <si>
    <t>https://drive.google.com/uc?export=view&amp;id=1pdAgi2XCRHXnX5Z-fyPCMO3sRlFpjkDM</t>
  </si>
  <si>
    <t>Llamar a la naturaleza.png</t>
  </si>
  <si>
    <t>Llamar a la naturaleza</t>
  </si>
  <si>
    <t>1lKJRbeaInwE_bcKF6DgBVjsS2C0wCxBY</t>
  </si>
  <si>
    <t>https://drive.google.com/file/d/1lKJRbeaInwE_bcKF6DgBVjsS2C0wCxBY/view?usp=drivesdk</t>
  </si>
  <si>
    <t>https://drive.google.com/uc?export=view&amp;id=1lKJRbeaInwE_bcKF6DgBVjsS2C0wCxBY</t>
  </si>
  <si>
    <t>Lluvia Solemne.png</t>
  </si>
  <si>
    <t>Lluvia Solemne</t>
  </si>
  <si>
    <t>1Kvn_80gIEx4vDrXDnvyyDlAYHmBwpUhl</t>
  </si>
  <si>
    <t>https://drive.google.com/file/d/1Kvn_80gIEx4vDrXDnvyyDlAYHmBwpUhl/view?usp=drivesdk</t>
  </si>
  <si>
    <t>https://drive.google.com/uc?export=view&amp;id=1Kvn_80gIEx4vDrXDnvyyDlAYHmBwpUhl</t>
  </si>
  <si>
    <t>Lobo Gigante de Bernisse.png</t>
  </si>
  <si>
    <t>Lobo Gigante de Bernisse</t>
  </si>
  <si>
    <t>1Kl4BP3kxJnf4qsUoLq_EeSn0gXYfrHBy</t>
  </si>
  <si>
    <t>https://drive.google.com/file/d/1Kl4BP3kxJnf4qsUoLq_EeSn0gXYfrHBy/view?usp=drivesdk</t>
  </si>
  <si>
    <t>https://drive.google.com/uc?export=view&amp;id=1Kl4BP3kxJnf4qsUoLq_EeSn0gXYfrHBy</t>
  </si>
  <si>
    <t>Localizar criatura.png</t>
  </si>
  <si>
    <t>Localizar criatura</t>
  </si>
  <si>
    <t>1qVlfX8IyFwg67xxNTIryWwoi4s0iLusw</t>
  </si>
  <si>
    <t>https://drive.google.com/file/d/1qVlfX8IyFwg67xxNTIryWwoi4s0iLusw/view?usp=drivesdk</t>
  </si>
  <si>
    <t>https://drive.google.com/uc?export=view&amp;id=1qVlfX8IyFwg67xxNTIryWwoi4s0iLusw</t>
  </si>
  <si>
    <t>Localizar criatura_bw.png</t>
  </si>
  <si>
    <t>Localizar criatura bw</t>
  </si>
  <si>
    <t>1AlmZ7c986ONXoaWoWSPM6LowvZiJjMfQ</t>
  </si>
  <si>
    <t>https://drive.google.com/file/d/1AlmZ7c986ONXoaWoWSPM6LowvZiJjMfQ/view?usp=drivesdk</t>
  </si>
  <si>
    <t>https://drive.google.com/uc?export=view&amp;id=1AlmZ7c986ONXoaWoWSPM6LowvZiJjMfQ</t>
  </si>
  <si>
    <t>Logo arkanor con mapa de fondo.jpeg</t>
  </si>
  <si>
    <t>Logo arkanor con mapa de fondo</t>
  </si>
  <si>
    <t>1Zowf2Lmuymq1lb0NHYIMUoQpeQMb2pk4</t>
  </si>
  <si>
    <t>https://drive.google.com/file/d/1Zowf2Lmuymq1lb0NHYIMUoQpeQMb2pk4/view?usp=drivesdk</t>
  </si>
  <si>
    <t>https://drive.google.com/uc?export=view&amp;id=1Zowf2Lmuymq1lb0NHYIMUoQpeQMb2pk4</t>
  </si>
  <si>
    <t>Logo Barbaro.jpg</t>
  </si>
  <si>
    <t>Logo Barbaro</t>
  </si>
  <si>
    <t>1GyS-dzeblLgHC2irRs3JmZx9dFS-kqjp</t>
  </si>
  <si>
    <t>https://drive.google.com/file/d/1GyS-dzeblLgHC2irRs3JmZx9dFS-kqjp/view?usp=drivesdk</t>
  </si>
  <si>
    <t>https://drive.google.com/uc?export=view&amp;id=1GyS-dzeblLgHC2irRs3JmZx9dFS-kqjp</t>
  </si>
  <si>
    <t>Iconos de Clases</t>
  </si>
  <si>
    <t>1D7cJdzFPCoJMgHzt7j39vrbPu5cxeYZ7</t>
  </si>
  <si>
    <t>Logo Barbaro_bw.jpg</t>
  </si>
  <si>
    <t>Logo Barbaro bw</t>
  </si>
  <si>
    <t>1y48fzN2p1tVhIt2H8NXOTMZizw-HH0wD</t>
  </si>
  <si>
    <t>https://drive.google.com/file/d/1y48fzN2p1tVhIt2H8NXOTMZizw-HH0wD/view?usp=drivesdk</t>
  </si>
  <si>
    <t>https://drive.google.com/uc?export=view&amp;id=1y48fzN2p1tVhIt2H8NXOTMZizw-HH0wD</t>
  </si>
  <si>
    <t>Iconos de Clases_bn</t>
  </si>
  <si>
    <t>16tF1Bt6W62C57hzqxsIWUGPs1tpfGSO2</t>
  </si>
  <si>
    <t>Logo Druida.jpg</t>
  </si>
  <si>
    <t>Logo Druida</t>
  </si>
  <si>
    <t>1hbTapVvIB921euQP1BLb0wwfsNNS5J06</t>
  </si>
  <si>
    <t>https://drive.google.com/file/d/1hbTapVvIB921euQP1BLb0wwfsNNS5J06/view?usp=drivesdk</t>
  </si>
  <si>
    <t>https://drive.google.com/uc?export=view&amp;id=1hbTapVvIB921euQP1BLb0wwfsNNS5J06</t>
  </si>
  <si>
    <t>Logo Druida_bw.jpg</t>
  </si>
  <si>
    <t>Logo Druida bw</t>
  </si>
  <si>
    <t>1qD99krjf9Feau5FOqcXNzVDrpGmUYWf5</t>
  </si>
  <si>
    <t>https://drive.google.com/file/d/1qD99krjf9Feau5FOqcXNzVDrpGmUYWf5/view?usp=drivesdk</t>
  </si>
  <si>
    <t>https://drive.google.com/uc?export=view&amp;id=1qD99krjf9Feau5FOqcXNzVDrpGmUYWf5</t>
  </si>
  <si>
    <t>Logo Explorador.jpg</t>
  </si>
  <si>
    <t>Logo Explorador</t>
  </si>
  <si>
    <t>1RrKww33TsH2O98x_MsIvLg5gXkJzWsjC</t>
  </si>
  <si>
    <t>https://drive.google.com/file/d/1RrKww33TsH2O98x_MsIvLg5gXkJzWsjC/view?usp=drivesdk</t>
  </si>
  <si>
    <t>https://drive.google.com/uc?export=view&amp;id=1RrKww33TsH2O98x_MsIvLg5gXkJzWsjC</t>
  </si>
  <si>
    <t>Logo Explorador_bw.jpg</t>
  </si>
  <si>
    <t>Logo Explorador bw</t>
  </si>
  <si>
    <t>1-xE4uk_KscQvzWrYhKOgHpu1b8bBpKLO</t>
  </si>
  <si>
    <t>https://drive.google.com/file/d/1-xE4uk_KscQvzWrYhKOgHpu1b8bBpKLO/view?usp=drivesdk</t>
  </si>
  <si>
    <t>https://drive.google.com/uc?export=view&amp;id=1-xE4uk_KscQvzWrYhKOgHpu1b8bBpKLO</t>
  </si>
  <si>
    <t>Logo Forajido.jpg</t>
  </si>
  <si>
    <t>Logo Forajido</t>
  </si>
  <si>
    <t>1cJ1TfMG4SlSRuLxhTtrSqSMULL1MSz01</t>
  </si>
  <si>
    <t>https://drive.google.com/file/d/1cJ1TfMG4SlSRuLxhTtrSqSMULL1MSz01/view?usp=drivesdk</t>
  </si>
  <si>
    <t>https://drive.google.com/uc?export=view&amp;id=1cJ1TfMG4SlSRuLxhTtrSqSMULL1MSz01</t>
  </si>
  <si>
    <t>Logo Forajido_bw.jpg</t>
  </si>
  <si>
    <t>Logo Forajido bw</t>
  </si>
  <si>
    <t>1-q-cKDqdv26_RCvA9seWZrjL_FokZ6Bo</t>
  </si>
  <si>
    <t>https://drive.google.com/file/d/1-q-cKDqdv26_RCvA9seWZrjL_FokZ6Bo/view?usp=drivesdk</t>
  </si>
  <si>
    <t>https://drive.google.com/uc?export=view&amp;id=1-q-cKDqdv26_RCvA9seWZrjL_FokZ6Bo</t>
  </si>
  <si>
    <t>Logo Genérico.png</t>
  </si>
  <si>
    <t>Logo Genérico</t>
  </si>
  <si>
    <t>1d6uKUfdP_A4EZNUdZsT2nLxWLCV8t2Ud</t>
  </si>
  <si>
    <t>https://drive.google.com/file/d/1d6uKUfdP_A4EZNUdZsT2nLxWLCV8t2Ud/view?usp=drivesdk</t>
  </si>
  <si>
    <t>https://drive.google.com/uc?export=view&amp;id=1d6uKUfdP_A4EZNUdZsT2nLxWLCV8t2Ud</t>
  </si>
  <si>
    <t>Logo Genérico_bw.png</t>
  </si>
  <si>
    <t>Logo Genérico bw</t>
  </si>
  <si>
    <t>1iJBcpwge3caqv2PYLzpwG_o1I31C8R_W</t>
  </si>
  <si>
    <t>https://drive.google.com/file/d/1iJBcpwge3caqv2PYLzpwG_o1I31C8R_W/view?usp=drivesdk</t>
  </si>
  <si>
    <t>https://drive.google.com/uc?export=view&amp;id=1iJBcpwge3caqv2PYLzpwG_o1I31C8R_W</t>
  </si>
  <si>
    <t>Logo Guerrero.jpg</t>
  </si>
  <si>
    <t>Logo Guerrero</t>
  </si>
  <si>
    <t>1n3kqCUclHLi-WtdugGluQYzbuCpCFO4O</t>
  </si>
  <si>
    <t>https://drive.google.com/file/d/1n3kqCUclHLi-WtdugGluQYzbuCpCFO4O/view?usp=drivesdk</t>
  </si>
  <si>
    <t>https://drive.google.com/uc?export=view&amp;id=1n3kqCUclHLi-WtdugGluQYzbuCpCFO4O</t>
  </si>
  <si>
    <t>Logo Guerrero_bw.jpg</t>
  </si>
  <si>
    <t>Logo Guerrero bw</t>
  </si>
  <si>
    <t>1Vsx9du_yahX0gW7MkTqvOq8vU0_VMlJ4</t>
  </si>
  <si>
    <t>https://drive.google.com/file/d/1Vsx9du_yahX0gW7MkTqvOq8vU0_VMlJ4/view?usp=drivesdk</t>
  </si>
  <si>
    <t>https://drive.google.com/uc?export=view&amp;id=1Vsx9du_yahX0gW7MkTqvOq8vU0_VMlJ4</t>
  </si>
  <si>
    <t>Logo Luchador.jpg</t>
  </si>
  <si>
    <t>Logo Luchador</t>
  </si>
  <si>
    <t>1BqdyrvcNdlger8-03gAha6jXCEHGFeCr</t>
  </si>
  <si>
    <t>https://drive.google.com/file/d/1BqdyrvcNdlger8-03gAha6jXCEHGFeCr/view?usp=drivesdk</t>
  </si>
  <si>
    <t>https://drive.google.com/uc?export=view&amp;id=1BqdyrvcNdlger8-03gAha6jXCEHGFeCr</t>
  </si>
  <si>
    <t>Logo Luchador_bw.jpg</t>
  </si>
  <si>
    <t>Logo Luchador bw</t>
  </si>
  <si>
    <t>18-FGt-x-lQV20mzqNiDle0UiTgXGdBN1</t>
  </si>
  <si>
    <t>https://drive.google.com/file/d/18-FGt-x-lQV20mzqNiDle0UiTgXGdBN1/view?usp=drivesdk</t>
  </si>
  <si>
    <t>https://drive.google.com/uc?export=view&amp;id=18-FGt-x-lQV20mzqNiDle0UiTgXGdBN1</t>
  </si>
  <si>
    <t>Logo Mago.jpg</t>
  </si>
  <si>
    <t>Logo Mago</t>
  </si>
  <si>
    <t>13_TbWngxs7mjrlKOLUc7uVQGc2pdphlP</t>
  </si>
  <si>
    <t>https://drive.google.com/file/d/13_TbWngxs7mjrlKOLUc7uVQGc2pdphlP/view?usp=drivesdk</t>
  </si>
  <si>
    <t>https://drive.google.com/uc?export=view&amp;id=13_TbWngxs7mjrlKOLUc7uVQGc2pdphlP</t>
  </si>
  <si>
    <t>Logo Mago_bw.jpg</t>
  </si>
  <si>
    <t>Logo Mago bw</t>
  </si>
  <si>
    <t>1MUVDQk31efybU5LvyWoxMLROX4qjl3Rx</t>
  </si>
  <si>
    <t>https://drive.google.com/file/d/1MUVDQk31efybU5LvyWoxMLROX4qjl3Rx/view?usp=drivesdk</t>
  </si>
  <si>
    <t>https://drive.google.com/uc?export=view&amp;id=1MUVDQk31efybU5LvyWoxMLROX4qjl3Rx</t>
  </si>
  <si>
    <t>Logo Modo Comandantes.png</t>
  </si>
  <si>
    <t>Logo Modo Comandantes</t>
  </si>
  <si>
    <t>1zqGQfNbAkYCNdsMSdssDdpoI2HHhY_At</t>
  </si>
  <si>
    <t>https://drive.google.com/file/d/1zqGQfNbAkYCNdsMSdssDdpoI2HHhY_At/view?usp=drivesdk</t>
  </si>
  <si>
    <t>https://drive.google.com/uc?export=view&amp;id=1zqGQfNbAkYCNdsMSdssDdpoI2HHhY_At</t>
  </si>
  <si>
    <t>Logo Nigromante.jpg</t>
  </si>
  <si>
    <t>Logo Nigromante</t>
  </si>
  <si>
    <t>1I2SY4RhVSMRdBm-oSheMvq6cdc7PTuku</t>
  </si>
  <si>
    <t>https://drive.google.com/file/d/1I2SY4RhVSMRdBm-oSheMvq6cdc7PTuku/view?usp=drivesdk</t>
  </si>
  <si>
    <t>https://drive.google.com/uc?export=view&amp;id=1I2SY4RhVSMRdBm-oSheMvq6cdc7PTuku</t>
  </si>
  <si>
    <t>Logo Nigromante_bw.jpg</t>
  </si>
  <si>
    <t>Logo Nigromante bw</t>
  </si>
  <si>
    <t>1JFmorJre-o92msS7CH6dDEHirY_zOZrD</t>
  </si>
  <si>
    <t>https://drive.google.com/file/d/1JFmorJre-o92msS7CH6dDEHirY_zOZrD/view?usp=drivesdk</t>
  </si>
  <si>
    <t>https://drive.google.com/uc?export=view&amp;id=1JFmorJre-o92msS7CH6dDEHirY_zOZrD</t>
  </si>
  <si>
    <t>Logo nuevo2.png</t>
  </si>
  <si>
    <t>Logo nuevo2</t>
  </si>
  <si>
    <t>1Ewyrf2e2SOD5OrLKhqOH6Q91O7hhDNt3</t>
  </si>
  <si>
    <t>https://drive.google.com/file/d/1Ewyrf2e2SOD5OrLKhqOH6Q91O7hhDNt3/view?usp=drivesdk</t>
  </si>
  <si>
    <t>https://drive.google.com/uc?export=view&amp;id=1Ewyrf2e2SOD5OrLKhqOH6Q91O7hhDNt3</t>
  </si>
  <si>
    <t>Logo Paladin.jpg</t>
  </si>
  <si>
    <t>Logo Paladin</t>
  </si>
  <si>
    <t>1o5zyKEAxalDdAAVG53zVutaaJrUxf1AB</t>
  </si>
  <si>
    <t>https://drive.google.com/file/d/1o5zyKEAxalDdAAVG53zVutaaJrUxf1AB/view?usp=drivesdk</t>
  </si>
  <si>
    <t>https://drive.google.com/uc?export=view&amp;id=1o5zyKEAxalDdAAVG53zVutaaJrUxf1AB</t>
  </si>
  <si>
    <t>Logo Paladin_bw.jpg</t>
  </si>
  <si>
    <t>Logo Paladin bw</t>
  </si>
  <si>
    <t>1_K8CksfE3yFGnH0qXYe_PbWENxKLDobX</t>
  </si>
  <si>
    <t>https://drive.google.com/file/d/1_K8CksfE3yFGnH0qXYe_PbWENxKLDobX/view?usp=drivesdk</t>
  </si>
  <si>
    <t>https://drive.google.com/uc?export=view&amp;id=1_K8CksfE3yFGnH0qXYe_PbWENxKLDobX</t>
  </si>
  <si>
    <t>Logo sin fondo.png</t>
  </si>
  <si>
    <t>Logo sin fondo</t>
  </si>
  <si>
    <t>1AvVPrirI7FFgT6Z2Rx7qNsnE1yftWn4c</t>
  </si>
  <si>
    <t>https://drive.google.com/file/d/1AvVPrirI7FFgT6Z2Rx7qNsnE1yftWn4c/view?usp=drivesdk</t>
  </si>
  <si>
    <t>https://drive.google.com/uc?export=view&amp;id=1AvVPrirI7FFgT6Z2Rx7qNsnE1yftWn4c</t>
  </si>
  <si>
    <t>Logo Teúrgo.jpg</t>
  </si>
  <si>
    <t>Logo Teúrgo</t>
  </si>
  <si>
    <t>1aaX4d0zb2v9__4N8WtjR9fGi0mczrhiP</t>
  </si>
  <si>
    <t>https://drive.google.com/file/d/1aaX4d0zb2v9__4N8WtjR9fGi0mczrhiP/view?usp=drivesdk</t>
  </si>
  <si>
    <t>https://drive.google.com/uc?export=view&amp;id=1aaX4d0zb2v9__4N8WtjR9fGi0mczrhiP</t>
  </si>
  <si>
    <t>Logo Teúrgo_bw.jpg</t>
  </si>
  <si>
    <t>Logo Teúrgo bw</t>
  </si>
  <si>
    <t>183cg9bZjrkazJvPle-9jGX5del2eOW7F</t>
  </si>
  <si>
    <t>https://drive.google.com/file/d/183cg9bZjrkazJvPle-9jGX5del2eOW7F/view?usp=drivesdk</t>
  </si>
  <si>
    <t>https://drive.google.com/uc?export=view&amp;id=183cg9bZjrkazJvPle-9jGX5del2eOW7F</t>
  </si>
  <si>
    <t>Lucero del alba.jpg</t>
  </si>
  <si>
    <t>Lucero del alba</t>
  </si>
  <si>
    <t>1P658A44QNy1JbzGtS2X6IZzwTqsMfZdY</t>
  </si>
  <si>
    <t>https://drive.google.com/file/d/1P658A44QNy1JbzGtS2X6IZzwTqsMfZdY/view?usp=drivesdk</t>
  </si>
  <si>
    <t>https://drive.google.com/uc?export=view&amp;id=1P658A44QNy1JbzGtS2X6IZzwTqsMfZdY</t>
  </si>
  <si>
    <t>Luz sagrada.png</t>
  </si>
  <si>
    <t>Luz sagrada</t>
  </si>
  <si>
    <t>1wTjG7bS5fsrQxICeY7sjExpzsRLiI6PC</t>
  </si>
  <si>
    <t>https://drive.google.com/file/d/1wTjG7bS5fsrQxICeY7sjExpzsRLiI6PC/view?usp=drivesdk</t>
  </si>
  <si>
    <t>https://drive.google.com/uc?export=view&amp;id=1wTjG7bS5fsrQxICeY7sjExpzsRLiI6PC</t>
  </si>
  <si>
    <t>Luz sagrada_bw.png</t>
  </si>
  <si>
    <t>Luz sagrada bw</t>
  </si>
  <si>
    <t>1Hf86v8dR73sPBmoagMZ9Xt4E9oefslaj</t>
  </si>
  <si>
    <t>https://drive.google.com/file/d/1Hf86v8dR73sPBmoagMZ9Xt4E9oefslaj/view?usp=drivesdk</t>
  </si>
  <si>
    <t>https://drive.google.com/uc?export=view&amp;id=1Hf86v8dR73sPBmoagMZ9Xt4E9oefslaj</t>
  </si>
  <si>
    <t>Machete.jpg</t>
  </si>
  <si>
    <t>Machete</t>
  </si>
  <si>
    <t>151b8KqXM0ISEVszvMMY7zUHYTgmPcYwg</t>
  </si>
  <si>
    <t>https://drive.google.com/file/d/151b8KqXM0ISEVszvMMY7zUHYTgmPcYwg/view?usp=drivesdk</t>
  </si>
  <si>
    <t>https://drive.google.com/uc?export=view&amp;id=151b8KqXM0ISEVszvMMY7zUHYTgmPcYwg</t>
  </si>
  <si>
    <t>Madera.png</t>
  </si>
  <si>
    <t>Madera</t>
  </si>
  <si>
    <t>1iNdvN0R81KrDs2joU2fm990eZ-iOK2gI</t>
  </si>
  <si>
    <t>https://drive.google.com/file/d/1iNdvN0R81KrDs2joU2fm990eZ-iOK2gI/view?usp=drivesdk</t>
  </si>
  <si>
    <t>https://drive.google.com/uc?export=view&amp;id=1iNdvN0R81KrDs2joU2fm990eZ-iOK2gI</t>
  </si>
  <si>
    <t>Maestro del entorno.png</t>
  </si>
  <si>
    <t>Maestro del entorno</t>
  </si>
  <si>
    <t>1urVxW8YFKfGkR1kScFDoRTLjJYm7WU4F</t>
  </si>
  <si>
    <t>https://drive.google.com/file/d/1urVxW8YFKfGkR1kScFDoRTLjJYm7WU4F/view?usp=drivesdk</t>
  </si>
  <si>
    <t>https://drive.google.com/uc?export=view&amp;id=1urVxW8YFKfGkR1kScFDoRTLjJYm7WU4F</t>
  </si>
  <si>
    <t>Mal de ojo.png</t>
  </si>
  <si>
    <t>Mal de ojo</t>
  </si>
  <si>
    <t>1J_4San7Y_Gbt5FCDgNq7GbaP1WLg9YGM</t>
  </si>
  <si>
    <t>https://drive.google.com/file/d/1J_4San7Y_Gbt5FCDgNq7GbaP1WLg9YGM/view?usp=drivesdk</t>
  </si>
  <si>
    <t>https://drive.google.com/uc?export=view&amp;id=1J_4San7Y_Gbt5FCDgNq7GbaP1WLg9YGM</t>
  </si>
  <si>
    <t>Mal de ojo_bw.png</t>
  </si>
  <si>
    <t>Mal de ojo bw</t>
  </si>
  <si>
    <t>1DpkxwDSF9Iv9ktN2ue5WTmBu_HFK2hfH</t>
  </si>
  <si>
    <t>https://drive.google.com/file/d/1DpkxwDSF9Iv9ktN2ue5WTmBu_HFK2hfH/view?usp=drivesdk</t>
  </si>
  <si>
    <t>https://drive.google.com/uc?export=view&amp;id=1DpkxwDSF9Iv9ktN2ue5WTmBu_HFK2hfH</t>
  </si>
  <si>
    <t>Maldición de luna.png</t>
  </si>
  <si>
    <t>Maldición de luna</t>
  </si>
  <si>
    <t>1_KMU5Ce_i9xX1QyaW4mwU_VE-I4fa-We</t>
  </si>
  <si>
    <t>https://drive.google.com/file/d/1_KMU5Ce_i9xX1QyaW4mwU_VE-I4fa-We/view?usp=drivesdk</t>
  </si>
  <si>
    <t>https://drive.google.com/uc?export=view&amp;id=1_KMU5Ce_i9xX1QyaW4mwU_VE-I4fa-We</t>
  </si>
  <si>
    <t>Maldición de luna_bw.png</t>
  </si>
  <si>
    <t>Maldición de luna bw</t>
  </si>
  <si>
    <t>1wLd7wwo_SrVuvUuMHDrYjFz-waIOCLZx</t>
  </si>
  <si>
    <t>https://drive.google.com/file/d/1wLd7wwo_SrVuvUuMHDrYjFz-waIOCLZx/view?usp=drivesdk</t>
  </si>
  <si>
    <t>https://drive.google.com/uc?export=view&amp;id=1wLd7wwo_SrVuvUuMHDrYjFz-waIOCLZx</t>
  </si>
  <si>
    <t>Maldición de posesión.png</t>
  </si>
  <si>
    <t>Maldición de posesión</t>
  </si>
  <si>
    <t>1XpuIwDNerGz02ymCsqx-EMdNxkg2-peV</t>
  </si>
  <si>
    <t>https://drive.google.com/file/d/1XpuIwDNerGz02ymCsqx-EMdNxkg2-peV/view?usp=drivesdk</t>
  </si>
  <si>
    <t>https://drive.google.com/uc?export=view&amp;id=1XpuIwDNerGz02ymCsqx-EMdNxkg2-peV</t>
  </si>
  <si>
    <t>Mana.png</t>
  </si>
  <si>
    <t>Mana</t>
  </si>
  <si>
    <t>1DON8yDuOUzdLdlFtsygdn-OFXp5kD5jR</t>
  </si>
  <si>
    <t>https://drive.google.com/file/d/1DON8yDuOUzdLdlFtsygdn-OFXp5kD5jR/view?usp=drivesdk</t>
  </si>
  <si>
    <t>https://drive.google.com/uc?export=view&amp;id=1DON8yDuOUzdLdlFtsygdn-OFXp5kD5jR</t>
  </si>
  <si>
    <t>Mandoble.jpg</t>
  </si>
  <si>
    <t>Mandoble</t>
  </si>
  <si>
    <t>16rnqz5QEAbVYDfscoo686-dGPcNxCzIA</t>
  </si>
  <si>
    <t>https://drive.google.com/file/d/16rnqz5QEAbVYDfscoo686-dGPcNxCzIA/view?usp=drivesdk</t>
  </si>
  <si>
    <t>https://drive.google.com/uc?export=view&amp;id=16rnqz5QEAbVYDfscoo686-dGPcNxCzIA</t>
  </si>
  <si>
    <t>Mandoble dudoso.png</t>
  </si>
  <si>
    <t>Mandoble dudoso</t>
  </si>
  <si>
    <t>1lGCsr9mAZVc4EUIiBOAaEMFH07t3UCfH</t>
  </si>
  <si>
    <t>https://drive.google.com/file/d/1lGCsr9mAZVc4EUIiBOAaEMFH07t3UCfH/view?usp=drivesdk</t>
  </si>
  <si>
    <t>https://drive.google.com/uc?export=view&amp;id=1lGCsr9mAZVc4EUIiBOAaEMFH07t3UCfH</t>
  </si>
  <si>
    <t>Mandrágora.png</t>
  </si>
  <si>
    <t>Mandrágora</t>
  </si>
  <si>
    <t>10wKdlnynIu_--RaOOPEwJ2KEZ9LNtLO6</t>
  </si>
  <si>
    <t>https://drive.google.com/file/d/10wKdlnynIu_--RaOOPEwJ2KEZ9LNtLO6/view?usp=drivesdk</t>
  </si>
  <si>
    <t>https://drive.google.com/uc?export=view&amp;id=10wKdlnynIu_--RaOOPEwJ2KEZ9LNtLO6</t>
  </si>
  <si>
    <t>Mangual.jpg</t>
  </si>
  <si>
    <t>Mangual</t>
  </si>
  <si>
    <t>1-9OyAK5wbtycstrN7fMATDNhJ1QhppXg</t>
  </si>
  <si>
    <t>https://drive.google.com/file/d/1-9OyAK5wbtycstrN7fMATDNhJ1QhppXg/view?usp=drivesdk</t>
  </si>
  <si>
    <t>https://drive.google.com/uc?export=view&amp;id=1-9OyAK5wbtycstrN7fMATDNhJ1QhppXg</t>
  </si>
  <si>
    <t>Maniobra de salvación.png</t>
  </si>
  <si>
    <t>Maniobra de salvación</t>
  </si>
  <si>
    <t>1CwfwOvuSc7-v2-zEmYRsB4VLHqA9hCw5</t>
  </si>
  <si>
    <t>https://drive.google.com/file/d/1CwfwOvuSc7-v2-zEmYRsB4VLHqA9hCw5/view?usp=drivesdk</t>
  </si>
  <si>
    <t>https://drive.google.com/uc?export=view&amp;id=1CwfwOvuSc7-v2-zEmYRsB4VLHqA9hCw5</t>
  </si>
  <si>
    <t>Maniobra de salvación_bw.png</t>
  </si>
  <si>
    <t>Maniobra de salvación bw</t>
  </si>
  <si>
    <t>1Jh_pFXPIhCPLZ3f0a55khZA1PcXzE__w</t>
  </si>
  <si>
    <t>https://drive.google.com/file/d/1Jh_pFXPIhCPLZ3f0a55khZA1PcXzE__w/view?usp=drivesdk</t>
  </si>
  <si>
    <t>https://drive.google.com/uc?export=view&amp;id=1Jh_pFXPIhCPLZ3f0a55khZA1PcXzE__w</t>
  </si>
  <si>
    <t>Manjar de aves y especias.png</t>
  </si>
  <si>
    <t>Manjar de aves y especias</t>
  </si>
  <si>
    <t>1uW1n9S8mcWEVshIFxGove6FEh4FxbcjF</t>
  </si>
  <si>
    <t>https://drive.google.com/file/d/1uW1n9S8mcWEVshIFxGove6FEh4FxbcjF/view?usp=drivesdk</t>
  </si>
  <si>
    <t>https://drive.google.com/uc?export=view&amp;id=1uW1n9S8mcWEVshIFxGove6FEh4FxbcjF</t>
  </si>
  <si>
    <t>Mano Hábil.png</t>
  </si>
  <si>
    <t>Mano Hábil</t>
  </si>
  <si>
    <t>1AT57hhML41aJJE3u0JbLK2Y9tdzEFyEr</t>
  </si>
  <si>
    <t>https://drive.google.com/file/d/1AT57hhML41aJJE3u0JbLK2Y9tdzEFyEr/view?usp=drivesdk</t>
  </si>
  <si>
    <t>https://drive.google.com/uc?export=view&amp;id=1AT57hhML41aJJE3u0JbLK2Y9tdzEFyEr</t>
  </si>
  <si>
    <t>Mano No Habil.png</t>
  </si>
  <si>
    <t>Mano No Habil</t>
  </si>
  <si>
    <t>1l3f9abuvc0tx1HH1WP_EclbCjefkoFyd</t>
  </si>
  <si>
    <t>https://drive.google.com/file/d/1l3f9abuvc0tx1HH1WP_EclbCjefkoFyd/view?usp=drivesdk</t>
  </si>
  <si>
    <t>https://drive.google.com/uc?export=view&amp;id=1l3f9abuvc0tx1HH1WP_EclbCjefkoFyd</t>
  </si>
  <si>
    <t>Manos Generico.png</t>
  </si>
  <si>
    <t>Manos Generico</t>
  </si>
  <si>
    <t>1VLZdTtjpQcYAozYoDzvjDxnPnn9U2E4A</t>
  </si>
  <si>
    <t>https://drive.google.com/file/d/1VLZdTtjpQcYAozYoDzvjDxnPnn9U2E4A/view?usp=drivesdk</t>
  </si>
  <si>
    <t>https://drive.google.com/uc?export=view&amp;id=1VLZdTtjpQcYAozYoDzvjDxnPnn9U2E4A</t>
  </si>
  <si>
    <t>Manos prestas.png</t>
  </si>
  <si>
    <t>Manos prestas</t>
  </si>
  <si>
    <t>1-4GSqQR7s2ACWLmEpWJlH8TOL-pZzlcp</t>
  </si>
  <si>
    <t>https://drive.google.com/file/d/1-4GSqQR7s2ACWLmEpWJlH8TOL-pZzlcp/view?usp=drivesdk</t>
  </si>
  <si>
    <t>https://drive.google.com/uc?export=view&amp;id=1-4GSqQR7s2ACWLmEpWJlH8TOL-pZzlcp</t>
  </si>
  <si>
    <t>Manos prestas_bw.png</t>
  </si>
  <si>
    <t>Manos prestas bw</t>
  </si>
  <si>
    <t>1KCqicRojlPsSb7u6xQmJ2xPBx4gsu-4O</t>
  </si>
  <si>
    <t>https://drive.google.com/file/d/1KCqicRojlPsSb7u6xQmJ2xPBx4gsu-4O/view?usp=drivesdk</t>
  </si>
  <si>
    <t>https://drive.google.com/uc?export=view&amp;id=1KCqicRojlPsSb7u6xQmJ2xPBx4gsu-4O</t>
  </si>
  <si>
    <t>Manos rápidas.png</t>
  </si>
  <si>
    <t>Manos rápidas</t>
  </si>
  <si>
    <t>1KnJuM1VaorTcWxUmnIP42I1xehddYHEq</t>
  </si>
  <si>
    <t>https://drive.google.com/file/d/1KnJuM1VaorTcWxUmnIP42I1xehddYHEq/view?usp=drivesdk</t>
  </si>
  <si>
    <t>https://drive.google.com/uc?export=view&amp;id=1KnJuM1VaorTcWxUmnIP42I1xehddYHEq</t>
  </si>
  <si>
    <t>Manos rápidas_bw.png</t>
  </si>
  <si>
    <t>Manos rápidas bw</t>
  </si>
  <si>
    <t>1DzaFhZHdIu1xw2owjz9BoKk2WrpLymiy</t>
  </si>
  <si>
    <t>https://drive.google.com/file/d/1DzaFhZHdIu1xw2owjz9BoKk2WrpLymiy/view?usp=drivesdk</t>
  </si>
  <si>
    <t>https://drive.google.com/uc?export=view&amp;id=1DzaFhZHdIu1xw2owjz9BoKk2WrpLymiy</t>
  </si>
  <si>
    <t>Manteca.png</t>
  </si>
  <si>
    <t>Manteca</t>
  </si>
  <si>
    <t>1TYWo6cGaOhL5jkvIi4-pio3yn9aynxRQ</t>
  </si>
  <si>
    <t>https://drive.google.com/file/d/1TYWo6cGaOhL5jkvIi4-pio3yn9aynxRQ/view?usp=drivesdk</t>
  </si>
  <si>
    <t>https://drive.google.com/uc?export=view&amp;id=1TYWo6cGaOhL5jkvIi4-pio3yn9aynxRQ</t>
  </si>
  <si>
    <t>Manzana.png</t>
  </si>
  <si>
    <t>Manzana</t>
  </si>
  <si>
    <t>1ZPjdMarV4XhkRQBjdIv7mgZPItNJJ27o</t>
  </si>
  <si>
    <t>https://drive.google.com/file/d/1ZPjdMarV4XhkRQBjdIv7mgZPItNJJ27o/view?usp=drivesdk</t>
  </si>
  <si>
    <t>https://drive.google.com/uc?export=view&amp;id=1ZPjdMarV4XhkRQBjdIv7mgZPItNJJ27o</t>
  </si>
  <si>
    <t>Marca de hierro.png</t>
  </si>
  <si>
    <t>Marca de hierro</t>
  </si>
  <si>
    <t>12hVmlW-jV_8bH-Was44REydSioFE5VuC</t>
  </si>
  <si>
    <t>https://drive.google.com/file/d/12hVmlW-jV_8bH-Was44REydSioFE5VuC/view?usp=drivesdk</t>
  </si>
  <si>
    <t>https://drive.google.com/uc?export=view&amp;id=12hVmlW-jV_8bH-Was44REydSioFE5VuC</t>
  </si>
  <si>
    <t>Martillero de Primera Línea.png</t>
  </si>
  <si>
    <t>Martillero de Primera Línea</t>
  </si>
  <si>
    <t>1fh7Elzo9aywvE6PY6vmIZAh6cLS27ttc</t>
  </si>
  <si>
    <t>https://drive.google.com/file/d/1fh7Elzo9aywvE6PY6vmIZAh6cLS27ttc/view?usp=drivesdk</t>
  </si>
  <si>
    <t>https://drive.google.com/uc?export=view&amp;id=1fh7Elzo9aywvE6PY6vmIZAh6cLS27ttc</t>
  </si>
  <si>
    <t>Martillero de Segunda Línea.png</t>
  </si>
  <si>
    <t>Martillero de Segunda Línea</t>
  </si>
  <si>
    <t>1q52WP67f3xw1I-PfJQMa7BVK5I3cv6h3</t>
  </si>
  <si>
    <t>https://drive.google.com/file/d/1q52WP67f3xw1I-PfJQMa7BVK5I3cv6h3/view?usp=drivesdk</t>
  </si>
  <si>
    <t>https://drive.google.com/uc?export=view&amp;id=1q52WP67f3xw1I-PfJQMa7BVK5I3cv6h3</t>
  </si>
  <si>
    <t>Martillo de guerra.png</t>
  </si>
  <si>
    <t>Martillo de guerra</t>
  </si>
  <si>
    <t>1R7scThx-uDqh9bugz0sCgg2yX_ESt7x3</t>
  </si>
  <si>
    <t>https://drive.google.com/file/d/1R7scThx-uDqh9bugz0sCgg2yX_ESt7x3/view?usp=drivesdk</t>
  </si>
  <si>
    <t>https://drive.google.com/uc?export=view&amp;id=1R7scThx-uDqh9bugz0sCgg2yX_ESt7x3</t>
  </si>
  <si>
    <t>Martillo ligero.png</t>
  </si>
  <si>
    <t>Martillo ligero</t>
  </si>
  <si>
    <t>1Abfk1HWs0gXL6E-CFJuIJW4m7qRUQADc</t>
  </si>
  <si>
    <t>https://drive.google.com/file/d/1Abfk1HWs0gXL6E-CFJuIJW4m7qRUQADc/view?usp=drivesdk</t>
  </si>
  <si>
    <t>https://drive.google.com/uc?export=view&amp;id=1Abfk1HWs0gXL6E-CFJuIJW4m7qRUQADc</t>
  </si>
  <si>
    <t>Materializar alimento.png</t>
  </si>
  <si>
    <t>Materializar alimento</t>
  </si>
  <si>
    <t>1hmolJMpGuxF9mCicU-SUxPoGI2wOtfQ5</t>
  </si>
  <si>
    <t>https://drive.google.com/file/d/1hmolJMpGuxF9mCicU-SUxPoGI2wOtfQ5/view?usp=drivesdk</t>
  </si>
  <si>
    <t>https://drive.google.com/uc?export=view&amp;id=1hmolJMpGuxF9mCicU-SUxPoGI2wOtfQ5</t>
  </si>
  <si>
    <t>Maza.png</t>
  </si>
  <si>
    <t>Maza</t>
  </si>
  <si>
    <t>1Gtx9Mi9X8B1UiP1wuw4ymXCVVM2ev_xv</t>
  </si>
  <si>
    <t>https://drive.google.com/file/d/1Gtx9Mi9X8B1UiP1wuw4ymXCVVM2ev_xv/view?usp=drivesdk</t>
  </si>
  <si>
    <t>https://drive.google.com/uc?export=view&amp;id=1Gtx9Mi9X8B1UiP1wuw4ymXCVVM2ev_xv</t>
  </si>
  <si>
    <t>Mazo de guerra.png</t>
  </si>
  <si>
    <t>Mazo de guerra</t>
  </si>
  <si>
    <t>1myTDcKkHuM-xMyxm0P-A2odSDmqUuZbU</t>
  </si>
  <si>
    <t>https://drive.google.com/file/d/1myTDcKkHuM-xMyxm0P-A2odSDmqUuZbU/view?usp=drivesdk</t>
  </si>
  <si>
    <t>https://drive.google.com/uc?export=view&amp;id=1myTDcKkHuM-xMyxm0P-A2odSDmqUuZbU</t>
  </si>
  <si>
    <t>Médica Alquimista Anheym.png</t>
  </si>
  <si>
    <t>Médica Alquimista Anheym</t>
  </si>
  <si>
    <t>1etpqvT3iF0s6y2PBFN18rA0rzfprVkit</t>
  </si>
  <si>
    <t>https://drive.google.com/file/d/1etpqvT3iF0s6y2PBFN18rA0rzfprVkit/view?usp=drivesdk</t>
  </si>
  <si>
    <t>https://drive.google.com/uc?export=view&amp;id=1etpqvT3iF0s6y2PBFN18rA0rzfprVkit</t>
  </si>
  <si>
    <t>Médico Alquimista Anheym.png</t>
  </si>
  <si>
    <t>Médico Alquimista Anheym</t>
  </si>
  <si>
    <t>1h2JD1nT3xljnloNmXlRzMvmFMab61B3W</t>
  </si>
  <si>
    <t>https://drive.google.com/file/d/1h2JD1nT3xljnloNmXlRzMvmFMab61B3W/view?usp=drivesdk</t>
  </si>
  <si>
    <t>https://drive.google.com/uc?export=view&amp;id=1h2JD1nT3xljnloNmXlRzMvmFMab61B3W</t>
  </si>
  <si>
    <t>Médico Herborista Terra-Ita.png</t>
  </si>
  <si>
    <t>Médico Herborista Terra-Ita</t>
  </si>
  <si>
    <t>1-Bxc8u1ZDjMGzQbX-agYRpgkGdixy1p1</t>
  </si>
  <si>
    <t>https://drive.google.com/file/d/1-Bxc8u1ZDjMGzQbX-agYRpgkGdixy1p1/view?usp=drivesdk</t>
  </si>
  <si>
    <t>https://drive.google.com/uc?export=view&amp;id=1-Bxc8u1ZDjMGzQbX-agYRpgkGdixy1p1</t>
  </si>
  <si>
    <t>Meditar.png</t>
  </si>
  <si>
    <t>Meditar</t>
  </si>
  <si>
    <t>1uTTQ2LS4oyKU8mwg7p_GkG0ED3QgeYlD</t>
  </si>
  <si>
    <t>https://drive.google.com/file/d/1uTTQ2LS4oyKU8mwg7p_GkG0ED3QgeYlD/view?usp=drivesdk</t>
  </si>
  <si>
    <t>https://drive.google.com/uc?export=view&amp;id=1uTTQ2LS4oyKU8mwg7p_GkG0ED3QgeYlD</t>
  </si>
  <si>
    <t>Meditar_bw.png</t>
  </si>
  <si>
    <t>Meditar bw</t>
  </si>
  <si>
    <t>1n9He7Xs0wnDkkvkrCT9SGc99E4iXkYe5</t>
  </si>
  <si>
    <t>https://drive.google.com/file/d/1n9He7Xs0wnDkkvkrCT9SGc99E4iXkYe5/view?usp=drivesdk</t>
  </si>
  <si>
    <t>https://drive.google.com/uc?export=view&amp;id=1n9He7Xs0wnDkkvkrCT9SGc99E4iXkYe5</t>
  </si>
  <si>
    <t>Mejorar Apariencia 1.png</t>
  </si>
  <si>
    <t>Mejorar Apariencia 1</t>
  </si>
  <si>
    <t>1vXcrjcN0OFnKpu-pAVAdYuVB_w4HDxEv</t>
  </si>
  <si>
    <t>https://drive.google.com/file/d/1vXcrjcN0OFnKpu-pAVAdYuVB_w4HDxEv/view?usp=drivesdk</t>
  </si>
  <si>
    <t>https://drive.google.com/uc?export=view&amp;id=1vXcrjcN0OFnKpu-pAVAdYuVB_w4HDxEv</t>
  </si>
  <si>
    <t>Mensajero animal.png</t>
  </si>
  <si>
    <t>Mensajero animal</t>
  </si>
  <si>
    <t>1wF-yjxQaXmE0a6dph_JneuWMN0GlOwie</t>
  </si>
  <si>
    <t>https://drive.google.com/file/d/1wF-yjxQaXmE0a6dph_JneuWMN0GlOwie/view?usp=drivesdk</t>
  </si>
  <si>
    <t>https://drive.google.com/uc?export=view&amp;id=1wF-yjxQaXmE0a6dph_JneuWMN0GlOwie</t>
  </si>
  <si>
    <t>Mensajero animal_bw.png</t>
  </si>
  <si>
    <t>Mensajero animal bw</t>
  </si>
  <si>
    <t>1REkh2xx5qc4q5OhkrwCVWhv1DvkFHlQz</t>
  </si>
  <si>
    <t>https://drive.google.com/file/d/1REkh2xx5qc4q5OhkrwCVWhv1DvkFHlQz/view?usp=drivesdk</t>
  </si>
  <si>
    <t>https://drive.google.com/uc?export=view&amp;id=1REkh2xx5qc4q5OhkrwCVWhv1DvkFHlQz</t>
  </si>
  <si>
    <t>Mercantilismo.png</t>
  </si>
  <si>
    <t>Mercantilismo</t>
  </si>
  <si>
    <t>1EGaY1Zz0GRAv78CEOHI8AQEi_g4j-Uhy</t>
  </si>
  <si>
    <t>https://drive.google.com/file/d/1EGaY1Zz0GRAv78CEOHI8AQEi_g4j-Uhy/view?usp=drivesdk</t>
  </si>
  <si>
    <t>https://drive.google.com/uc?export=view&amp;id=1EGaY1Zz0GRAv78CEOHI8AQEi_g4j-Uhy</t>
  </si>
  <si>
    <t>Milagro.png</t>
  </si>
  <si>
    <t>Milagro</t>
  </si>
  <si>
    <t>1VTMnFLB0CunTBYRho2dh4Lc8LlHuYylH</t>
  </si>
  <si>
    <t>https://drive.google.com/file/d/1VTMnFLB0CunTBYRho2dh4Lc8LlHuYylH/view?usp=drivesdk</t>
  </si>
  <si>
    <t>https://drive.google.com/uc?export=view&amp;id=1VTMnFLB0CunTBYRho2dh4Lc8LlHuYylH</t>
  </si>
  <si>
    <t>Montura.png</t>
  </si>
  <si>
    <t>Montura</t>
  </si>
  <si>
    <t>1XSoDvU13C1XbWQR-4kv0vXu4HuvkPB6-</t>
  </si>
  <si>
    <t>https://drive.google.com/file/d/1XSoDvU13C1XbWQR-4kv0vXu4HuvkPB6-/view?usp=drivesdk</t>
  </si>
  <si>
    <t>https://drive.google.com/uc?export=view&amp;id=1XSoDvU13C1XbWQR-4kv0vXu4HuvkPB6-</t>
  </si>
  <si>
    <t>Muriendo.jpg</t>
  </si>
  <si>
    <t>Muriendo</t>
  </si>
  <si>
    <t>1NxqcdTr9-scWT5J0B6oYjJW5zxRRMaOV</t>
  </si>
  <si>
    <t>https://drive.google.com/file/d/1NxqcdTr9-scWT5J0B6oYjJW5zxRRMaOV/view?usp=drivesdk</t>
  </si>
  <si>
    <t>https://drive.google.com/uc?export=view&amp;id=1NxqcdTr9-scWT5J0B6oYjJW5zxRRMaOV</t>
  </si>
  <si>
    <t>Musgo de Sangre.png</t>
  </si>
  <si>
    <t>Musgo de Sangre</t>
  </si>
  <si>
    <t>1vM63klSSu8-PveRj3Vngg6eg8eQQTGIf</t>
  </si>
  <si>
    <t>https://drive.google.com/file/d/1vM63klSSu8-PveRj3Vngg6eg8eQQTGIf/view?usp=drivesdk</t>
  </si>
  <si>
    <t>https://drive.google.com/uc?export=view&amp;id=1vM63klSSu8-PveRj3Vngg6eg8eQQTGIf</t>
  </si>
  <si>
    <t>Mutágeno.png</t>
  </si>
  <si>
    <t>Mutágeno</t>
  </si>
  <si>
    <t>1qEfMGWOyLP_gFF2pnJVPATqxQX_J8Ln2</t>
  </si>
  <si>
    <t>https://drive.google.com/file/d/1qEfMGWOyLP_gFF2pnJVPATqxQX_J8Ln2/view?usp=drivesdk</t>
  </si>
  <si>
    <t>https://drive.google.com/uc?export=view&amp;id=1qEfMGWOyLP_gFF2pnJVPATqxQX_J8Ln2</t>
  </si>
  <si>
    <t>Nana.png</t>
  </si>
  <si>
    <t>Nana</t>
  </si>
  <si>
    <t>1m6u108JoO4vB5fuhb__O5mCAxtq-9l5F</t>
  </si>
  <si>
    <t>https://drive.google.com/file/d/1m6u108JoO4vB5fuhb__O5mCAxtq-9l5F/view?usp=drivesdk</t>
  </si>
  <si>
    <t>https://drive.google.com/uc?export=view&amp;id=1m6u108JoO4vB5fuhb__O5mCAxtq-9l5F</t>
  </si>
  <si>
    <t>Nova elemental.png</t>
  </si>
  <si>
    <t>Nova elemental</t>
  </si>
  <si>
    <t>1LULx-MsWrnGJxtVkYeoruBZ9TJQekjBF</t>
  </si>
  <si>
    <t>https://drive.google.com/file/d/1LULx-MsWrnGJxtVkYeoruBZ9TJQekjBF/view?usp=drivesdk</t>
  </si>
  <si>
    <t>https://drive.google.com/uc?export=view&amp;id=1LULx-MsWrnGJxtVkYeoruBZ9TJQekjBF</t>
  </si>
  <si>
    <t>Nova elemental_bw.png</t>
  </si>
  <si>
    <t>Nova elemental bw</t>
  </si>
  <si>
    <t>1GZ5KOWIlLk25QnwLqI7-788BLUMV4RTJ</t>
  </si>
  <si>
    <t>https://drive.google.com/file/d/1GZ5KOWIlLk25QnwLqI7-788BLUMV4RTJ/view?usp=drivesdk</t>
  </si>
  <si>
    <t>https://drive.google.com/uc?export=view&amp;id=1GZ5KOWIlLk25QnwLqI7-788BLUMV4RTJ</t>
  </si>
  <si>
    <t>Nuevas energías.png</t>
  </si>
  <si>
    <t>Nuevas energías</t>
  </si>
  <si>
    <t>14v7AeZygjuXrQC22iB6PtaoNQ0RB4nFr</t>
  </si>
  <si>
    <t>https://drive.google.com/file/d/14v7AeZygjuXrQC22iB6PtaoNQ0RB4nFr/view?usp=drivesdk</t>
  </si>
  <si>
    <t>https://drive.google.com/uc?export=view&amp;id=14v7AeZygjuXrQC22iB6PtaoNQ0RB4nFr</t>
  </si>
  <si>
    <t>Nuevo aliento.png</t>
  </si>
  <si>
    <t>Nuevo aliento</t>
  </si>
  <si>
    <t>1fanneYEVoEbirRjgkvc5ZPUN-EYPzAUX</t>
  </si>
  <si>
    <t>https://drive.google.com/file/d/1fanneYEVoEbirRjgkvc5ZPUN-EYPzAUX/view?usp=drivesdk</t>
  </si>
  <si>
    <t>https://drive.google.com/uc?export=view&amp;id=1fanneYEVoEbirRjgkvc5ZPUN-EYPzAUX</t>
  </si>
  <si>
    <t>Ocarina.png</t>
  </si>
  <si>
    <t>Ocarina</t>
  </si>
  <si>
    <t>1vmYu2QObCGx24UQtZ_FfnBtUAK3_Pc4w</t>
  </si>
  <si>
    <t>https://drive.google.com/file/d/1vmYu2QObCGx24UQtZ_FfnBtUAK3_Pc4w/view?usp=drivesdk</t>
  </si>
  <si>
    <t>https://drive.google.com/uc?export=view&amp;id=1vmYu2QObCGx24UQtZ_FfnBtUAK3_Pc4w</t>
  </si>
  <si>
    <t>Oda de la Provocación.png</t>
  </si>
  <si>
    <t>Oda de la Provocación</t>
  </si>
  <si>
    <t>1orzt00zuI83sjf47yIL49rJKKRhdV3zG</t>
  </si>
  <si>
    <t>https://drive.google.com/file/d/1orzt00zuI83sjf47yIL49rJKKRhdV3zG/view?usp=drivesdk</t>
  </si>
  <si>
    <t>https://drive.google.com/uc?export=view&amp;id=1orzt00zuI83sjf47yIL49rJKKRhdV3zG</t>
  </si>
  <si>
    <t>Odre de Agua.png</t>
  </si>
  <si>
    <t>Odre de Agua</t>
  </si>
  <si>
    <t>1bogOFHuDiPs9aBB_vDRGs1994B19RCEY</t>
  </si>
  <si>
    <t>https://drive.google.com/file/d/1bogOFHuDiPs9aBB_vDRGs1994B19RCEY/view?usp=drivesdk</t>
  </si>
  <si>
    <t>https://drive.google.com/uc?export=view&amp;id=1bogOFHuDiPs9aBB_vDRGs1994B19RCEY</t>
  </si>
  <si>
    <t>Oleada de acción.png</t>
  </si>
  <si>
    <t>Oleada de acción</t>
  </si>
  <si>
    <t>1jalfWz-ppxDEQhdb8OJW-Ny40L7gIVVz</t>
  </si>
  <si>
    <t>https://drive.google.com/file/d/1jalfWz-ppxDEQhdb8OJW-Ny40L7gIVVz/view?usp=drivesdk</t>
  </si>
  <si>
    <t>https://drive.google.com/uc?export=view&amp;id=1jalfWz-ppxDEQhdb8OJW-Ny40L7gIVVz</t>
  </si>
  <si>
    <t>Oración por los justos.png</t>
  </si>
  <si>
    <t>Oración por los justos</t>
  </si>
  <si>
    <t>1-tSYq_YpD-az34WStI7ieqs5LdO0fr7d</t>
  </si>
  <si>
    <t>https://drive.google.com/file/d/1-tSYq_YpD-az34WStI7ieqs5LdO0fr7d/view?usp=drivesdk</t>
  </si>
  <si>
    <t>https://drive.google.com/uc?export=view&amp;id=1-tSYq_YpD-az34WStI7ieqs5LdO0fr7d</t>
  </si>
  <si>
    <t>Oración por los justos_bw.png</t>
  </si>
  <si>
    <t>Oración por los justos bw</t>
  </si>
  <si>
    <t>1nHp-NdTA4Sy3OWSDcK5AwYWnmMMJWVEt</t>
  </si>
  <si>
    <t>https://drive.google.com/file/d/1nHp-NdTA4Sy3OWSDcK5AwYWnmMMJWVEt/view?usp=drivesdk</t>
  </si>
  <si>
    <t>https://drive.google.com/uc?export=view&amp;id=1nHp-NdTA4Sy3OWSDcK5AwYWnmMMJWVEt</t>
  </si>
  <si>
    <t>Orbe de Fuego.png</t>
  </si>
  <si>
    <t>Orbe de Fuego</t>
  </si>
  <si>
    <t>10SiEpAKPRNrRT8faUe9K8n6VBygx782M</t>
  </si>
  <si>
    <t>https://drive.google.com/file/d/10SiEpAKPRNrRT8faUe9K8n6VBygx782M/view?usp=drivesdk</t>
  </si>
  <si>
    <t>https://drive.google.com/uc?export=view&amp;id=10SiEpAKPRNrRT8faUe9K8n6VBygx782M</t>
  </si>
  <si>
    <t>Orco.png</t>
  </si>
  <si>
    <t>Orco</t>
  </si>
  <si>
    <t>1cGykaSJEx6dwq6fF-aFd5nHWh2n97U3G</t>
  </si>
  <si>
    <t>https://drive.google.com/file/d/1cGykaSJEx6dwq6fF-aFd5nHWh2n97U3G/view?usp=drivesdk</t>
  </si>
  <si>
    <t>https://drive.google.com/uc?export=view&amp;id=1cGykaSJEx6dwq6fF-aFd5nHWh2n97U3G</t>
  </si>
  <si>
    <t>Orco hembra para selección de personaje.png</t>
  </si>
  <si>
    <t>Orco hembra para selección de personaje</t>
  </si>
  <si>
    <t>1EwFZy6ZE2KxfelwMG-yoA-KGEAgfCwSl</t>
  </si>
  <si>
    <t>https://drive.google.com/file/d/1EwFZy6ZE2KxfelwMG-yoA-KGEAgfCwSl/view?usp=drivesdk</t>
  </si>
  <si>
    <t>https://drive.google.com/uc?export=view&amp;id=1EwFZy6ZE2KxfelwMG-yoA-KGEAgfCwSl</t>
  </si>
  <si>
    <t>Orco macho para sellección de personaje.png</t>
  </si>
  <si>
    <t>Orco macho para sellección de personaje</t>
  </si>
  <si>
    <t>1F3Tm9XTdW8CulY7xOopnHw7tSb748jD1</t>
  </si>
  <si>
    <t>https://drive.google.com/file/d/1F3Tm9XTdW8CulY7xOopnHw7tSb748jD1/view?usp=drivesdk</t>
  </si>
  <si>
    <t>https://drive.google.com/uc?export=view&amp;id=1F3Tm9XTdW8CulY7xOopnHw7tSb748jD1</t>
  </si>
  <si>
    <t>Orden de batalla.png</t>
  </si>
  <si>
    <t>Orden de batalla</t>
  </si>
  <si>
    <t>1Phgyvzx9ZNqRRZIzq7JQdqMZNQXaaqu2</t>
  </si>
  <si>
    <t>https://drive.google.com/file/d/1Phgyvzx9ZNqRRZIzq7JQdqMZNQXaaqu2/view?usp=drivesdk</t>
  </si>
  <si>
    <t>https://drive.google.com/uc?export=view&amp;id=1Phgyvzx9ZNqRRZIzq7JQdqMZNQXaaqu2</t>
  </si>
  <si>
    <t>Orden de batalla_bw.png</t>
  </si>
  <si>
    <t>Orden de batalla bw</t>
  </si>
  <si>
    <t>1tmWQBaCs5kHGMAzlkpUatXMk3S59KXpB</t>
  </si>
  <si>
    <t>https://drive.google.com/file/d/1tmWQBaCs5kHGMAzlkpUatXMk3S59KXpB/view?usp=drivesdk</t>
  </si>
  <si>
    <t>https://drive.google.com/uc?export=view&amp;id=1tmWQBaCs5kHGMAzlkpUatXMk3S59KXpB</t>
  </si>
  <si>
    <t>Ordenado Flagrante.png</t>
  </si>
  <si>
    <t>Ordenado Flagrante</t>
  </si>
  <si>
    <t>1HmnccpRxUVp_OA_Vcw-Pwz95YF2NMulp</t>
  </si>
  <si>
    <t>https://drive.google.com/file/d/1HmnccpRxUVp_OA_Vcw-Pwz95YF2NMulp/view?usp=drivesdk</t>
  </si>
  <si>
    <t>https://drive.google.com/uc?export=view&amp;id=1HmnccpRxUVp_OA_Vcw-Pwz95YF2NMulp</t>
  </si>
  <si>
    <t>Oro.png</t>
  </si>
  <si>
    <t>Oro</t>
  </si>
  <si>
    <t>1gcbnlQOtTj87YTCbNhIrpaOFBDQKBScH</t>
  </si>
  <si>
    <t>https://drive.google.com/file/d/1gcbnlQOtTj87YTCbNhIrpaOFBDQKBScH/view?usp=drivesdk</t>
  </si>
  <si>
    <t>https://drive.google.com/uc?export=view&amp;id=1gcbnlQOtTj87YTCbNhIrpaOFBDQKBScH</t>
  </si>
  <si>
    <t>Pala.png</t>
  </si>
  <si>
    <t>Pala</t>
  </si>
  <si>
    <t>1KYFevxuTcjwnrcj-tVjlfOqRaSmi8oQb</t>
  </si>
  <si>
    <t>https://drive.google.com/file/d/1KYFevxuTcjwnrcj-tVjlfOqRaSmi8oQb/view?usp=drivesdk</t>
  </si>
  <si>
    <t>https://drive.google.com/uc?export=view&amp;id=1KYFevxuTcjwnrcj-tVjlfOqRaSmi8oQb</t>
  </si>
  <si>
    <t>Pan.png</t>
  </si>
  <si>
    <t>Pan</t>
  </si>
  <si>
    <t>1E8Z9HaDpkMw9w-gA9Dtqmkcg3e-5OVVh</t>
  </si>
  <si>
    <t>https://drive.google.com/file/d/1E8Z9HaDpkMw9w-gA9Dtqmkcg3e-5OVVh/view?usp=drivesdk</t>
  </si>
  <si>
    <t>https://drive.google.com/uc?export=view&amp;id=1E8Z9HaDpkMw9w-gA9Dtqmkcg3e-5OVVh</t>
  </si>
  <si>
    <t>Pan con Queso Curado.png</t>
  </si>
  <si>
    <t>Pan con Queso Curado</t>
  </si>
  <si>
    <t>1QIGEfEWK7Znv4sxc4KD6-LgvIlk9Le01</t>
  </si>
  <si>
    <t>https://drive.google.com/file/d/1QIGEfEWK7Znv4sxc4KD6-LgvIlk9Le01/view?usp=drivesdk</t>
  </si>
  <si>
    <t>https://drive.google.com/uc?export=view&amp;id=1QIGEfEWK7Znv4sxc4KD6-LgvIlk9Le01</t>
  </si>
  <si>
    <t>Papa.png</t>
  </si>
  <si>
    <t>Papa</t>
  </si>
  <si>
    <t>11e8Y3Ex4SxQVOyfiAUeo1ZISfweKJcvd</t>
  </si>
  <si>
    <t>https://drive.google.com/file/d/11e8Y3Ex4SxQVOyfiAUeo1ZISfweKJcvd/view?usp=drivesdk</t>
  </si>
  <si>
    <t>https://drive.google.com/uc?export=view&amp;id=11e8Y3Ex4SxQVOyfiAUeo1ZISfweKJcvd</t>
  </si>
  <si>
    <t>Paralizado.jpg</t>
  </si>
  <si>
    <t>Paralizado</t>
  </si>
  <si>
    <t>1Q3IVZaxV-XBrwaPX7qfi_U4uvNvLnBFq</t>
  </si>
  <si>
    <t>https://drive.google.com/file/d/1Q3IVZaxV-XBrwaPX7qfi_U4uvNvLnBFq/view?usp=drivesdk</t>
  </si>
  <si>
    <t>https://drive.google.com/uc?export=view&amp;id=1Q3IVZaxV-XBrwaPX7qfi_U4uvNvLnBFq</t>
  </si>
  <si>
    <t>Pastel de Carne y Verduras.png</t>
  </si>
  <si>
    <t>Pastel de Carne y Verduras</t>
  </si>
  <si>
    <t>1YWniU5XyTTN0bNwapZpVf3b2BGtyKyTD</t>
  </si>
  <si>
    <t>https://drive.google.com/file/d/1YWniU5XyTTN0bNwapZpVf3b2BGtyKyTD/view?usp=drivesdk</t>
  </si>
  <si>
    <t>https://drive.google.com/uc?export=view&amp;id=1YWniU5XyTTN0bNwapZpVf3b2BGtyKyTD</t>
  </si>
  <si>
    <t>Patada potente.png</t>
  </si>
  <si>
    <t>Patada potente</t>
  </si>
  <si>
    <t>1Vnwkn4Bk0rweR1uKN84Wvz-S9SmRzO33</t>
  </si>
  <si>
    <t>https://drive.google.com/file/d/1Vnwkn4Bk0rweR1uKN84Wvz-S9SmRzO33/view?usp=drivesdk</t>
  </si>
  <si>
    <t>https://drive.google.com/uc?export=view&amp;id=1Vnwkn4Bk0rweR1uKN84Wvz-S9SmRzO33</t>
  </si>
  <si>
    <t>Patada potente_bw.png</t>
  </si>
  <si>
    <t>Patada potente bw</t>
  </si>
  <si>
    <t>1UXUudOnxbsfKoEtVBoqMLnEOJIbgNZBe</t>
  </si>
  <si>
    <t>https://drive.google.com/file/d/1UXUudOnxbsfKoEtVBoqMLnEOJIbgNZBe/view?usp=drivesdk</t>
  </si>
  <si>
    <t>https://drive.google.com/uc?export=view&amp;id=1UXUudOnxbsfKoEtVBoqMLnEOJIbgNZBe</t>
  </si>
  <si>
    <t>Penitencia.png</t>
  </si>
  <si>
    <t>Penitencia</t>
  </si>
  <si>
    <t>1rrefCkqbQOorcXMX2IVTfSw_SEDGchnW</t>
  </si>
  <si>
    <t>https://drive.google.com/file/d/1rrefCkqbQOorcXMX2IVTfSw_SEDGchnW/view?usp=drivesdk</t>
  </si>
  <si>
    <t>https://drive.google.com/uc?export=view&amp;id=1rrefCkqbQOorcXMX2IVTfSw_SEDGchnW</t>
  </si>
  <si>
    <t>Penitencia_bw.png</t>
  </si>
  <si>
    <t>Penitencia bw</t>
  </si>
  <si>
    <t>1sPyfcCeAHhr1CaHD4a0abt79vHFdpjU2</t>
  </si>
  <si>
    <t>https://drive.google.com/file/d/1sPyfcCeAHhr1CaHD4a0abt79vHFdpjU2/view?usp=drivesdk</t>
  </si>
  <si>
    <t>https://drive.google.com/uc?export=view&amp;id=1sPyfcCeAHhr1CaHD4a0abt79vHFdpjU2</t>
  </si>
  <si>
    <t>Percepcion.png</t>
  </si>
  <si>
    <t>Percepcion</t>
  </si>
  <si>
    <t>11r5Cn_iC1VD1gpkuAaro-j0TiR-1ATKp</t>
  </si>
  <si>
    <t>https://drive.google.com/file/d/11r5Cn_iC1VD1gpkuAaro-j0TiR-1ATKp/view?usp=drivesdk</t>
  </si>
  <si>
    <t>https://drive.google.com/uc?export=view&amp;id=11r5Cn_iC1VD1gpkuAaro-j0TiR-1ATKp</t>
  </si>
  <si>
    <t>Pergaminos de los Primeros Profetas.png</t>
  </si>
  <si>
    <t>Pergaminos de los Primeros Profetas</t>
  </si>
  <si>
    <t>1yQDLLes0Ugib4NMwkQyopzs8c1SVccBU</t>
  </si>
  <si>
    <t>https://drive.google.com/file/d/1yQDLLes0Ugib4NMwkQyopzs8c1SVccBU/view?usp=drivesdk</t>
  </si>
  <si>
    <t>https://drive.google.com/uc?export=view&amp;id=1yQDLLes0Ugib4NMwkQyopzs8c1SVccBU</t>
  </si>
  <si>
    <t>Pericia del archimago.png</t>
  </si>
  <si>
    <t>Pericia del archimago</t>
  </si>
  <si>
    <t>1x82fmO6EhZqF9GaD6IYz5z-Fg9sfaOtW</t>
  </si>
  <si>
    <t>https://drive.google.com/file/d/1x82fmO6EhZqF9GaD6IYz5z-Fg9sfaOtW/view?usp=drivesdk</t>
  </si>
  <si>
    <t>https://drive.google.com/uc?export=view&amp;id=1x82fmO6EhZqF9GaD6IYz5z-Fg9sfaOtW</t>
  </si>
  <si>
    <t>Pescado.png</t>
  </si>
  <si>
    <t>Pescado</t>
  </si>
  <si>
    <t>1poHquTpiP6Vm0KaRsEOFp6QyqGcz8edc</t>
  </si>
  <si>
    <t>https://drive.google.com/file/d/1poHquTpiP6Vm0KaRsEOFp6QyqGcz8edc/view?usp=drivesdk</t>
  </si>
  <si>
    <t>https://drive.google.com/uc?export=view&amp;id=1poHquTpiP6Vm0KaRsEOFp6QyqGcz8edc</t>
  </si>
  <si>
    <t>Pescado escalfado con hierbas y pan.png</t>
  </si>
  <si>
    <t>Pescado escalfado con hierbas y pan</t>
  </si>
  <si>
    <t>1sGstGIp3knsG61rqCkgb46E46WEENMO9</t>
  </si>
  <si>
    <t>https://drive.google.com/file/d/1sGstGIp3knsG61rqCkgb46E46WEENMO9/view?usp=drivesdk</t>
  </si>
  <si>
    <t>https://drive.google.com/uc?export=view&amp;id=1sGstGIp3knsG61rqCkgb46E46WEENMO9</t>
  </si>
  <si>
    <t>Petrificado.jpg</t>
  </si>
  <si>
    <t>Petrificado</t>
  </si>
  <si>
    <t>1jV1N_rm2IVnm54cl_OHdSnQuRQaEOFwu</t>
  </si>
  <si>
    <t>https://drive.google.com/file/d/1jV1N_rm2IVnm54cl_OHdSnQuRQaEOFwu/view?usp=drivesdk</t>
  </si>
  <si>
    <t>https://drive.google.com/uc?export=view&amp;id=1jV1N_rm2IVnm54cl_OHdSnQuRQaEOFwu</t>
  </si>
  <si>
    <t>Pico.png</t>
  </si>
  <si>
    <t>Pico</t>
  </si>
  <si>
    <t>1bheXu2aLjQSEoLWUbw-RLjFngs6Esmc-</t>
  </si>
  <si>
    <t>https://drive.google.com/file/d/1bheXu2aLjQSEoLWUbw-RLjFngs6Esmc-/view?usp=drivesdk</t>
  </si>
  <si>
    <t>https://drive.google.com/uc?export=view&amp;id=1bheXu2aLjQSEoLWUbw-RLjFngs6Esmc-</t>
  </si>
  <si>
    <t>Pico de Guerra.png</t>
  </si>
  <si>
    <t>Pico de Guerra</t>
  </si>
  <si>
    <t>1tF2y0eXfuknsaqbxl7ja59Bs0a9j0U0z</t>
  </si>
  <si>
    <t>https://drive.google.com/file/d/1tF2y0eXfuknsaqbxl7ja59Bs0a9j0U0z/view?usp=drivesdk</t>
  </si>
  <si>
    <t>https://drive.google.com/uc?export=view&amp;id=1tF2y0eXfuknsaqbxl7ja59Bs0a9j0U0z</t>
  </si>
  <si>
    <t>Piel férrea.png</t>
  </si>
  <si>
    <t>Piel férrea</t>
  </si>
  <si>
    <t>12YWGBqiEmJpoT2wx85RQGAXznQYjH4Nc</t>
  </si>
  <si>
    <t>https://drive.google.com/file/d/12YWGBqiEmJpoT2wx85RQGAXznQYjH4Nc/view?usp=drivesdk</t>
  </si>
  <si>
    <t>https://drive.google.com/uc?export=view&amp;id=12YWGBqiEmJpoT2wx85RQGAXznQYjH4Nc</t>
  </si>
  <si>
    <t>Piel férrea_bw.png</t>
  </si>
  <si>
    <t>Piel férrea bw</t>
  </si>
  <si>
    <t>1jx044hrXCkEfRD0AqK-WP8xrpHRaNJCu</t>
  </si>
  <si>
    <t>https://drive.google.com/file/d/1jx044hrXCkEfRD0AqK-WP8xrpHRaNJCu/view?usp=drivesdk</t>
  </si>
  <si>
    <t>https://drive.google.com/uc?export=view&amp;id=1jx044hrXCkEfRD0AqK-WP8xrpHRaNJCu</t>
  </si>
  <si>
    <t>Piel robliza.png</t>
  </si>
  <si>
    <t>Piel robliza</t>
  </si>
  <si>
    <t>1l6rCQsEsbkKPkHio6bA2cDoltvsIOfHT</t>
  </si>
  <si>
    <t>https://drive.google.com/file/d/1l6rCQsEsbkKPkHio6bA2cDoltvsIOfHT/view?usp=drivesdk</t>
  </si>
  <si>
    <t>https://drive.google.com/uc?export=view&amp;id=1l6rCQsEsbkKPkHio6bA2cDoltvsIOfHT</t>
  </si>
  <si>
    <t>Piel robliza_bw.png</t>
  </si>
  <si>
    <t>Piel robliza bw</t>
  </si>
  <si>
    <t>1CyzFZnZkltaA96ERQz4J_So448SFNoUS</t>
  </si>
  <si>
    <t>https://drive.google.com/file/d/1CyzFZnZkltaA96ERQz4J_So448SFNoUS/view?usp=drivesdk</t>
  </si>
  <si>
    <t>https://drive.google.com/uc?export=view&amp;id=1CyzFZnZkltaA96ERQz4J_So448SFNoUS</t>
  </si>
  <si>
    <t>Piernas Generico.png</t>
  </si>
  <si>
    <t>Piernas Generico</t>
  </si>
  <si>
    <t>1ANLim31YFP38gW8zWejfMOkU7LQpI4a2</t>
  </si>
  <si>
    <t>https://drive.google.com/file/d/1ANLim31YFP38gW8zWejfMOkU7LQpI4a2/view?usp=drivesdk</t>
  </si>
  <si>
    <t>https://drive.google.com/uc?export=view&amp;id=1ANLim31YFP38gW8zWejfMOkU7LQpI4a2</t>
  </si>
  <si>
    <t>Piezas de Metal.png</t>
  </si>
  <si>
    <t>Piezas de Metal</t>
  </si>
  <si>
    <t>1x19PC7EhqaZeuKyuQ2_NprOEMEK_j9VV</t>
  </si>
  <si>
    <t>https://drive.google.com/file/d/1x19PC7EhqaZeuKyuQ2_NprOEMEK_j9VV/view?usp=drivesdk</t>
  </si>
  <si>
    <t>https://drive.google.com/uc?export=view&amp;id=1x19PC7EhqaZeuKyuQ2_NprOEMEK_j9VV</t>
  </si>
  <si>
    <t>Pinchos.png</t>
  </si>
  <si>
    <t>Pinchos</t>
  </si>
  <si>
    <t>1v3oXgaqf1ENptzupJBnM73oiG-OQwHPE</t>
  </si>
  <si>
    <t>https://drive.google.com/file/d/1v3oXgaqf1ENptzupJBnM73oiG-OQwHPE/view?usp=drivesdk</t>
  </si>
  <si>
    <t>https://drive.google.com/uc?export=view&amp;id=1v3oXgaqf1ENptzupJBnM73oiG-OQwHPE</t>
  </si>
  <si>
    <t>Piromante Alfarh.png</t>
  </si>
  <si>
    <t>Piromante Alfarh</t>
  </si>
  <si>
    <t>1WTQcOO7CjipyL7rYqchbnHZYLlcblq_a</t>
  </si>
  <si>
    <t>https://drive.google.com/file/d/1WTQcOO7CjipyL7rYqchbnHZYLlcblq_a/view?usp=drivesdk</t>
  </si>
  <si>
    <t>https://drive.google.com/uc?export=view&amp;id=1WTQcOO7CjipyL7rYqchbnHZYLlcblq_a</t>
  </si>
  <si>
    <t>Placa de Metal.png</t>
  </si>
  <si>
    <t>Placa de Metal</t>
  </si>
  <si>
    <t>1hwayAqb2duoqOo3NaZfAYIJ2NguWGfNZ</t>
  </si>
  <si>
    <t>https://drive.google.com/file/d/1hwayAqb2duoqOo3NaZfAYIJ2NguWGfNZ/view?usp=drivesdk</t>
  </si>
  <si>
    <t>https://drive.google.com/uc?export=view&amp;id=1hwayAqb2duoqOo3NaZfAYIJ2NguWGfNZ</t>
  </si>
  <si>
    <t>Plata.png</t>
  </si>
  <si>
    <t>Plata</t>
  </si>
  <si>
    <t>1XBCrrT-B-VnXZLO1guQfyII1Hz_OB_bx</t>
  </si>
  <si>
    <t>https://drive.google.com/file/d/1XBCrrT-B-VnXZLO1guQfyII1Hz_OB_bx/view?usp=drivesdk</t>
  </si>
  <si>
    <t>https://drive.google.com/uc?export=view&amp;id=1XBCrrT-B-VnXZLO1guQfyII1Hz_OB_bx</t>
  </si>
  <si>
    <t>Plato de Madera.png</t>
  </si>
  <si>
    <t>Plato de Madera</t>
  </si>
  <si>
    <t>1OOqHy1fvUyvgw_ivgblXywBPQ9e4xr4A</t>
  </si>
  <si>
    <t>https://drive.google.com/file/d/1OOqHy1fvUyvgw_ivgblXywBPQ9e4xr4A/view?usp=drivesdk</t>
  </si>
  <si>
    <t>https://drive.google.com/uc?export=view&amp;id=1OOqHy1fvUyvgw_ivgblXywBPQ9e4xr4A</t>
  </si>
  <si>
    <t>Poción de conocimiento destilado.png</t>
  </si>
  <si>
    <t>Poción de conocimiento destilado</t>
  </si>
  <si>
    <t>1V2LauBNo7Ps1dgecE9rPJD0C9W77DdS-</t>
  </si>
  <si>
    <t>https://drive.google.com/file/d/1V2LauBNo7Ps1dgecE9rPJD0C9W77DdS-/view?usp=drivesdk</t>
  </si>
  <si>
    <t>https://drive.google.com/uc?export=view&amp;id=1V2LauBNo7Ps1dgecE9rPJD0C9W77DdS-</t>
  </si>
  <si>
    <t>Poción de curación.png</t>
  </si>
  <si>
    <t>Poción de curación</t>
  </si>
  <si>
    <t>1ETH8-rKU_VEEmoXIyX29wJjHeoofxW9T</t>
  </si>
  <si>
    <t>https://drive.google.com/file/d/1ETH8-rKU_VEEmoXIyX29wJjHeoofxW9T/view?usp=drivesdk</t>
  </si>
  <si>
    <t>https://drive.google.com/uc?export=view&amp;id=1ETH8-rKU_VEEmoXIyX29wJjHeoofxW9T</t>
  </si>
  <si>
    <t>Poción de enfoque.png</t>
  </si>
  <si>
    <t>Poción de enfoque</t>
  </si>
  <si>
    <t>135ldHjHzBd0Ib9S0_aoeyzXsw6zOvsD4</t>
  </si>
  <si>
    <t>https://drive.google.com/file/d/135ldHjHzBd0Ib9S0_aoeyzXsw6zOvsD4/view?usp=drivesdk</t>
  </si>
  <si>
    <t>https://drive.google.com/uc?export=view&amp;id=135ldHjHzBd0Ib9S0_aoeyzXsw6zOvsD4</t>
  </si>
  <si>
    <t>Poción de maná.png</t>
  </si>
  <si>
    <t>Poción de maná</t>
  </si>
  <si>
    <t>1OvhvL4tcwTiLmaYd7-T5A9cKDwjO1eC4</t>
  </si>
  <si>
    <t>https://drive.google.com/file/d/1OvhvL4tcwTiLmaYd7-T5A9cKDwjO1eC4/view?usp=drivesdk</t>
  </si>
  <si>
    <t>https://drive.google.com/uc?export=view&amp;id=1OvhvL4tcwTiLmaYd7-T5A9cKDwjO1eC4</t>
  </si>
  <si>
    <t>Poción de piel endurecida.png</t>
  </si>
  <si>
    <t>Poción de piel endurecida</t>
  </si>
  <si>
    <t>1wL8QeQ-aYxNgJAqLEOWwRl5bE9oU-j7M</t>
  </si>
  <si>
    <t>https://drive.google.com/file/d/1wL8QeQ-aYxNgJAqLEOWwRl5bE9oU-j7M/view?usp=drivesdk</t>
  </si>
  <si>
    <t>https://drive.google.com/uc?export=view&amp;id=1wL8QeQ-aYxNgJAqLEOWwRl5bE9oU-j7M</t>
  </si>
  <si>
    <t>Poción de resisitencia.png</t>
  </si>
  <si>
    <t>Poción de resisitencia</t>
  </si>
  <si>
    <t>1JizFaVbSAD16O5vCu1VbMUxhHae2sa1m</t>
  </si>
  <si>
    <t>https://drive.google.com/file/d/1JizFaVbSAD16O5vCu1VbMUxhHae2sa1m/view?usp=drivesdk</t>
  </si>
  <si>
    <t>https://drive.google.com/uc?export=view&amp;id=1JizFaVbSAD16O5vCu1VbMUxhHae2sa1m</t>
  </si>
  <si>
    <t>Poción de revelación.png</t>
  </si>
  <si>
    <t>Poción de revelación</t>
  </si>
  <si>
    <t>1uch6u-C4Q55WSnsxKUiJcEuxzy_sme7G</t>
  </si>
  <si>
    <t>https://drive.google.com/file/d/1uch6u-C4Q55WSnsxKUiJcEuxzy_sme7G/view?usp=drivesdk</t>
  </si>
  <si>
    <t>https://drive.google.com/uc?export=view&amp;id=1uch6u-C4Q55WSnsxKUiJcEuxzy_sme7G</t>
  </si>
  <si>
    <t>Poción de velocidad.png</t>
  </si>
  <si>
    <t>Poción de velocidad</t>
  </si>
  <si>
    <t>12d7yOrVNmr4Ut7W6IXazECEFaZ2KW9Zb</t>
  </si>
  <si>
    <t>https://drive.google.com/file/d/12d7yOrVNmr4Ut7W6IXazECEFaZ2KW9Zb/view?usp=drivesdk</t>
  </si>
  <si>
    <t>https://drive.google.com/uc?export=view&amp;id=12d7yOrVNmr4Ut7W6IXazECEFaZ2KW9Zb</t>
  </si>
  <si>
    <t>Poción de visión nocturna.png</t>
  </si>
  <si>
    <t>Poción de visión nocturna</t>
  </si>
  <si>
    <t>1zakE_phHi7HL8wqcI9oQ7Ij_ocxB7ZjK</t>
  </si>
  <si>
    <t>https://drive.google.com/file/d/1zakE_phHi7HL8wqcI9oQ7Ij_ocxB7ZjK/view?usp=drivesdk</t>
  </si>
  <si>
    <t>https://drive.google.com/uc?export=view&amp;id=1zakE_phHi7HL8wqcI9oQ7Ij_ocxB7ZjK</t>
  </si>
  <si>
    <t>Poder indomable.png</t>
  </si>
  <si>
    <t>Poder indomable</t>
  </si>
  <si>
    <t>1DBkOUn8arXhn9VgtpWEjjTJUnCW7ji05</t>
  </si>
  <si>
    <t>https://drive.google.com/file/d/1DBkOUn8arXhn9VgtpWEjjTJUnCW7ji05/view?usp=drivesdk</t>
  </si>
  <si>
    <t>https://drive.google.com/uc?export=view&amp;id=1DBkOUn8arXhn9VgtpWEjjTJUnCW7ji05</t>
  </si>
  <si>
    <t>Por la Horda.png</t>
  </si>
  <si>
    <t>Por la Horda</t>
  </si>
  <si>
    <t>1AV4WRvjVuwPthZ7P7h4aJfOST4KY7t_e</t>
  </si>
  <si>
    <t>https://drive.google.com/file/d/1AV4WRvjVuwPthZ7P7h4aJfOST4KY7t_e/view?usp=drivesdk</t>
  </si>
  <si>
    <t>https://drive.google.com/uc?export=view&amp;id=1AV4WRvjVuwPthZ7P7h4aJfOST4KY7t_e</t>
  </si>
  <si>
    <t>Portafurias.png</t>
  </si>
  <si>
    <t>Portafurias</t>
  </si>
  <si>
    <t>10I0PEndo3WYtAkA3IKTOKAjxF1WzJ5tO</t>
  </si>
  <si>
    <t>https://drive.google.com/file/d/10I0PEndo3WYtAkA3IKTOKAjxF1WzJ5tO/view?usp=drivesdk</t>
  </si>
  <si>
    <t>https://drive.google.com/uc?export=view&amp;id=10I0PEndo3WYtAkA3IKTOKAjxF1WzJ5tO</t>
  </si>
  <si>
    <t>Portafurias_bw.png</t>
  </si>
  <si>
    <t>Portafurias bw</t>
  </si>
  <si>
    <t>1PbK-s-bC5ZsnWvG9fnK4snI8WPG7xNQv</t>
  </si>
  <si>
    <t>https://drive.google.com/file/d/1PbK-s-bC5ZsnWvG9fnK4snI8WPG7xNQv/view?usp=drivesdk</t>
  </si>
  <si>
    <t>https://drive.google.com/uc?export=view&amp;id=1PbK-s-bC5ZsnWvG9fnK4snI8WPG7xNQv</t>
  </si>
  <si>
    <t>Precision.png</t>
  </si>
  <si>
    <t>Precision</t>
  </si>
  <si>
    <t>1aAW9HM4Jml0-QnjSR0Z6DCYSxp-KCN6U</t>
  </si>
  <si>
    <t>https://drive.google.com/file/d/1aAW9HM4Jml0-QnjSR0Z6DCYSxp-KCN6U/view?usp=drivesdk</t>
  </si>
  <si>
    <t>https://drive.google.com/uc?export=view&amp;id=1aAW9HM4Jml0-QnjSR0Z6DCYSxp-KCN6U</t>
  </si>
  <si>
    <t>Predicción.png</t>
  </si>
  <si>
    <t>Predicción</t>
  </si>
  <si>
    <t>1qom8Gdft_6xHxYSWlFH6WsRwlaUen1jt</t>
  </si>
  <si>
    <t>https://drive.google.com/file/d/1qom8Gdft_6xHxYSWlFH6WsRwlaUen1jt/view?usp=drivesdk</t>
  </si>
  <si>
    <t>https://drive.google.com/uc?export=view&amp;id=1qom8Gdft_6xHxYSWlFH6WsRwlaUen1jt</t>
  </si>
  <si>
    <t>Predicción_bw.png</t>
  </si>
  <si>
    <t>Predicción bw</t>
  </si>
  <si>
    <t>19U5vjAdKaulZjfn_PyU1GUgyMbzfYcSx</t>
  </si>
  <si>
    <t>https://drive.google.com/file/d/19U5vjAdKaulZjfn_PyU1GUgyMbzfYcSx/view?usp=drivesdk</t>
  </si>
  <si>
    <t>https://drive.google.com/uc?export=view&amp;id=19U5vjAdKaulZjfn_PyU1GUgyMbzfYcSx</t>
  </si>
  <si>
    <t>Presencia celestial.png</t>
  </si>
  <si>
    <t>Presencia celestial</t>
  </si>
  <si>
    <t>1ZQAObjZx08mf3KrwZ67QEcUwOxMNjqo8</t>
  </si>
  <si>
    <t>https://drive.google.com/file/d/1ZQAObjZx08mf3KrwZ67QEcUwOxMNjqo8/view?usp=drivesdk</t>
  </si>
  <si>
    <t>https://drive.google.com/uc?export=view&amp;id=1ZQAObjZx08mf3KrwZ67QEcUwOxMNjqo8</t>
  </si>
  <si>
    <t>Presicion_bw.png</t>
  </si>
  <si>
    <t>Presicion bw</t>
  </si>
  <si>
    <t>1hBxTFzcb3u5j8XhkF7oug3lnW-Mt7Wb_</t>
  </si>
  <si>
    <t>https://drive.google.com/file/d/1hBxTFzcb3u5j8XhkF7oug3lnW-Mt7Wb_/view?usp=drivesdk</t>
  </si>
  <si>
    <t>https://drive.google.com/uc?export=view&amp;id=1hBxTFzcb3u5j8XhkF7oug3lnW-Mt7Wb_</t>
  </si>
  <si>
    <t>Presteza de plegaria.png</t>
  </si>
  <si>
    <t>Presteza de plegaria</t>
  </si>
  <si>
    <t>17Yq-tJtfXBxhpjRNgP_aL-aOc0AeVcov</t>
  </si>
  <si>
    <t>https://drive.google.com/file/d/17Yq-tJtfXBxhpjRNgP_aL-aOc0AeVcov/view?usp=drivesdk</t>
  </si>
  <si>
    <t>https://drive.google.com/uc?export=view&amp;id=17Yq-tJtfXBxhpjRNgP_aL-aOc0AeVcov</t>
  </si>
  <si>
    <t>Presura instintiva.png</t>
  </si>
  <si>
    <t>Presura instintiva</t>
  </si>
  <si>
    <t>1XGe5FiBGuGpKEBzIBCvEAxUXrft_dHSY</t>
  </si>
  <si>
    <t>https://drive.google.com/file/d/1XGe5FiBGuGpKEBzIBCvEAxUXrft_dHSY/view?usp=drivesdk</t>
  </si>
  <si>
    <t>https://drive.google.com/uc?export=view&amp;id=1XGe5FiBGuGpKEBzIBCvEAxUXrft_dHSY</t>
  </si>
  <si>
    <t>Primeros Auxilios.png</t>
  </si>
  <si>
    <t>Primeros Auxilios</t>
  </si>
  <si>
    <t>1T7wFp9Xwr7M6rhN_LXekN9dzmB4zctY2</t>
  </si>
  <si>
    <t>https://drive.google.com/file/d/1T7wFp9Xwr7M6rhN_LXekN9dzmB4zctY2/view?usp=drivesdk</t>
  </si>
  <si>
    <t>https://drive.google.com/uc?export=view&amp;id=1T7wFp9Xwr7M6rhN_LXekN9dzmB4zctY2</t>
  </si>
  <si>
    <t>Promesa de gloria.png</t>
  </si>
  <si>
    <t>Promesa de gloria</t>
  </si>
  <si>
    <t>1Y14j-oO2UnaZ6SePw2IKe6QCTp9UtHXl</t>
  </si>
  <si>
    <t>https://drive.google.com/file/d/1Y14j-oO2UnaZ6SePw2IKe6QCTp9UtHXl/view?usp=drivesdk</t>
  </si>
  <si>
    <t>https://drive.google.com/uc?export=view&amp;id=1Y14j-oO2UnaZ6SePw2IKe6QCTp9UtHXl</t>
  </si>
  <si>
    <t>Promesa de gloria_bw.png</t>
  </si>
  <si>
    <t>Promesa de gloria bw</t>
  </si>
  <si>
    <t>16Np5zjexCIO55PkW8wOnU74Lw0_IW6rI</t>
  </si>
  <si>
    <t>https://drive.google.com/file/d/16Np5zjexCIO55PkW8wOnU74Lw0_IW6rI/view?usp=drivesdk</t>
  </si>
  <si>
    <t>https://drive.google.com/uc?export=view&amp;id=16Np5zjexCIO55PkW8wOnU74Lw0_IW6rI</t>
  </si>
  <si>
    <t>Proyectiles arcanos.png</t>
  </si>
  <si>
    <t>Proyectiles arcanos</t>
  </si>
  <si>
    <t>1LUwMbKaBL0df1lsy-QtlcNNHadH4pPnw</t>
  </si>
  <si>
    <t>https://drive.google.com/file/d/1LUwMbKaBL0df1lsy-QtlcNNHadH4pPnw/view?usp=drivesdk</t>
  </si>
  <si>
    <t>https://drive.google.com/uc?export=view&amp;id=1LUwMbKaBL0df1lsy-QtlcNNHadH4pPnw</t>
  </si>
  <si>
    <t>Proyectiles arcanos_bw.png</t>
  </si>
  <si>
    <t>Proyectiles arcanos bw</t>
  </si>
  <si>
    <t>1INfNpj_BCTuntGmQaOSe8vc8mXkbUMIm</t>
  </si>
  <si>
    <t>https://drive.google.com/file/d/1INfNpj_BCTuntGmQaOSe8vc8mXkbUMIm/view?usp=drivesdk</t>
  </si>
  <si>
    <t>https://drive.google.com/uc?export=view&amp;id=1INfNpj_BCTuntGmQaOSe8vc8mXkbUMIm</t>
  </si>
  <si>
    <t>Puñetazo.png</t>
  </si>
  <si>
    <t>Puñetazo</t>
  </si>
  <si>
    <t>1CyQvOEyRWhM9MCiuTSxdh7gHqu0ksY3S</t>
  </si>
  <si>
    <t>https://drive.google.com/file/d/1CyQvOEyRWhM9MCiuTSxdh7gHqu0ksY3S/view?usp=drivesdk</t>
  </si>
  <si>
    <t>https://drive.google.com/uc?export=view&amp;id=1CyQvOEyRWhM9MCiuTSxdh7gHqu0ksY3S</t>
  </si>
  <si>
    <t>Puñetazo_bw.png</t>
  </si>
  <si>
    <t>Puñetazo bw</t>
  </si>
  <si>
    <t>15EFTE5JVpR7svXJoiO02Zd6FWRMFYe-_</t>
  </si>
  <si>
    <t>https://drive.google.com/file/d/15EFTE5JVpR7svXJoiO02Zd6FWRMFYe-_/view?usp=drivesdk</t>
  </si>
  <si>
    <t>https://drive.google.com/uc?export=view&amp;id=15EFTE5JVpR7svXJoiO02Zd6FWRMFYe-_</t>
  </si>
  <si>
    <t>Quietud.png</t>
  </si>
  <si>
    <t>Quietud</t>
  </si>
  <si>
    <t>1JTIq_82yL8nkxiaID8HEMLayEruAeoQd</t>
  </si>
  <si>
    <t>https://drive.google.com/file/d/1JTIq_82yL8nkxiaID8HEMLayEruAeoQd/view?usp=drivesdk</t>
  </si>
  <si>
    <t>https://drive.google.com/uc?export=view&amp;id=1JTIq_82yL8nkxiaID8HEMLayEruAeoQd</t>
  </si>
  <si>
    <t>Quietud_bw.png</t>
  </si>
  <si>
    <t>Quietud bw</t>
  </si>
  <si>
    <t>1zJX7BVp51vrL_MbbvzHTvu5gorAUM57r</t>
  </si>
  <si>
    <t>https://drive.google.com/file/d/1zJX7BVp51vrL_MbbvzHTvu5gorAUM57r/view?usp=drivesdk</t>
  </si>
  <si>
    <t>https://drive.google.com/uc?export=view&amp;id=1zJX7BVp51vrL_MbbvzHTvu5gorAUM57r</t>
  </si>
  <si>
    <t>Rastreo.png</t>
  </si>
  <si>
    <t>Rastreo</t>
  </si>
  <si>
    <t>1kxkWO51JQslSddbpDG9lIUY1ENn5Eec8</t>
  </si>
  <si>
    <t>https://drive.google.com/file/d/1kxkWO51JQslSddbpDG9lIUY1ENn5Eec8/view?usp=drivesdk</t>
  </si>
  <si>
    <t>https://drive.google.com/uc?export=view&amp;id=1kxkWO51JQslSddbpDG9lIUY1ENn5Eec8</t>
  </si>
  <si>
    <t>Rastreo_bw.png</t>
  </si>
  <si>
    <t>Rastreo bw</t>
  </si>
  <si>
    <t>1bqDLswUZ9_sRU_9LuSLJ9VKw2oCtddce</t>
  </si>
  <si>
    <t>https://drive.google.com/file/d/1bqDLswUZ9_sRU_9LuSLJ9VKw2oCtddce/view?usp=drivesdk</t>
  </si>
  <si>
    <t>https://drive.google.com/uc?export=view&amp;id=1bqDLswUZ9_sRU_9LuSLJ9VKw2oCtddce</t>
  </si>
  <si>
    <t>Rayo de escarcha.png</t>
  </si>
  <si>
    <t>Rayo de escarcha</t>
  </si>
  <si>
    <t>1XbKCneX8Xce6kpub-tsGlKUw4B8wQXKH</t>
  </si>
  <si>
    <t>https://drive.google.com/file/d/1XbKCneX8Xce6kpub-tsGlKUw4B8wQXKH/view?usp=drivesdk</t>
  </si>
  <si>
    <t>https://drive.google.com/uc?export=view&amp;id=1XbKCneX8Xce6kpub-tsGlKUw4B8wQXKH</t>
  </si>
  <si>
    <t>Rayo de escarcha_bw.png</t>
  </si>
  <si>
    <t>Rayo de escarcha bw</t>
  </si>
  <si>
    <t>1gTBKGTrjpeO7JUW8dXRLrZECWaNdG5B7</t>
  </si>
  <si>
    <t>https://drive.google.com/file/d/1gTBKGTrjpeO7JUW8dXRLrZECWaNdG5B7/view?usp=drivesdk</t>
  </si>
  <si>
    <t>https://drive.google.com/uc?export=view&amp;id=1gTBKGTrjpeO7JUW8dXRLrZECWaNdG5B7</t>
  </si>
  <si>
    <t>Rayo debilitador.png</t>
  </si>
  <si>
    <t>Rayo debilitador</t>
  </si>
  <si>
    <t>1u542wKZ1CLB9RTCTyAgNG0tlY9Vgr2gp</t>
  </si>
  <si>
    <t>https://drive.google.com/file/d/1u542wKZ1CLB9RTCTyAgNG0tlY9Vgr2gp/view?usp=drivesdk</t>
  </si>
  <si>
    <t>https://drive.google.com/uc?export=view&amp;id=1u542wKZ1CLB9RTCTyAgNG0tlY9Vgr2gp</t>
  </si>
  <si>
    <t>Rayo debilitador_bw.png</t>
  </si>
  <si>
    <t>Rayo debilitador bw</t>
  </si>
  <si>
    <t>1blNkM_HMwGQUzwxwHitEAjkEUHOXCa8L</t>
  </si>
  <si>
    <t>https://drive.google.com/file/d/1blNkM_HMwGQUzwxwHitEAjkEUHOXCa8L/view?usp=drivesdk</t>
  </si>
  <si>
    <t>https://drive.google.com/uc?export=view&amp;id=1blNkM_HMwGQUzwxwHitEAjkEUHOXCa8L</t>
  </si>
  <si>
    <t>Recrecimiento.png</t>
  </si>
  <si>
    <t>Recrecimiento</t>
  </si>
  <si>
    <t>1Ak3g6CaWnGqvwO8DQ6Ra150hDTutIKse</t>
  </si>
  <si>
    <t>https://drive.google.com/file/d/1Ak3g6CaWnGqvwO8DQ6Ra150hDTutIKse/view?usp=drivesdk</t>
  </si>
  <si>
    <t>https://drive.google.com/uc?export=view&amp;id=1Ak3g6CaWnGqvwO8DQ6Ra150hDTutIKse</t>
  </si>
  <si>
    <t>Recrecimiento_bw.png</t>
  </si>
  <si>
    <t>Recrecimiento bw</t>
  </si>
  <si>
    <t>1yok6oj1fOfTa5LI0tBSBau7yHUrMsfC6</t>
  </si>
  <si>
    <t>https://drive.google.com/file/d/1yok6oj1fOfTa5LI0tBSBau7yHUrMsfC6/view?usp=drivesdk</t>
  </si>
  <si>
    <t>https://drive.google.com/uc?export=view&amp;id=1yok6oj1fOfTa5LI0tBSBau7yHUrMsfC6</t>
  </si>
  <si>
    <t>Recuperación arcana.png</t>
  </si>
  <si>
    <t>Recuperación arcana</t>
  </si>
  <si>
    <t>1gF8bLrJ3lB96TbHS6hn3rRs00y2zkZB0</t>
  </si>
  <si>
    <t>https://drive.google.com/file/d/1gF8bLrJ3lB96TbHS6hn3rRs00y2zkZB0/view?usp=drivesdk</t>
  </si>
  <si>
    <t>https://drive.google.com/uc?export=view&amp;id=1gF8bLrJ3lB96TbHS6hn3rRs00y2zkZB0</t>
  </si>
  <si>
    <t>Red.png</t>
  </si>
  <si>
    <t>Red</t>
  </si>
  <si>
    <t>1j-CHzmMOdYcNO1462hvp2xgNi9R3Zxsn</t>
  </si>
  <si>
    <t>https://drive.google.com/file/d/1j-CHzmMOdYcNO1462hvp2xgNi9R3Zxsn/view?usp=drivesdk</t>
  </si>
  <si>
    <t>https://drive.google.com/uc?export=view&amp;id=1j-CHzmMOdYcNO1462hvp2xgNi9R3Zxsn</t>
  </si>
  <si>
    <t>Red de Captura.png</t>
  </si>
  <si>
    <t>Red de Captura</t>
  </si>
  <si>
    <t>1A2MezkMGdLMjbvPZRpDE9YgLVFrzo61J</t>
  </si>
  <si>
    <t>https://drive.google.com/file/d/1A2MezkMGdLMjbvPZRpDE9YgLVFrzo61J/view?usp=drivesdk</t>
  </si>
  <si>
    <t>https://drive.google.com/uc?export=view&amp;id=1A2MezkMGdLMjbvPZRpDE9YgLVFrzo61J</t>
  </si>
  <si>
    <t>Reidhvard.png</t>
  </si>
  <si>
    <t>Reidhvard</t>
  </si>
  <si>
    <t>1eIYwNnoAboxe8Lgk09LOnv9RADhIbx2k</t>
  </si>
  <si>
    <t>https://drive.google.com/file/d/1eIYwNnoAboxe8Lgk09LOnv9RADhIbx2k/view?usp=drivesdk</t>
  </si>
  <si>
    <t>https://drive.google.com/uc?export=view&amp;id=1eIYwNnoAboxe8Lgk09LOnv9RADhIbx2k</t>
  </si>
  <si>
    <t>Repartir muerte.png</t>
  </si>
  <si>
    <t>Repartir muerte</t>
  </si>
  <si>
    <t>128D9drzyTEF8mEaoylRCZgN29EfS4Vs-</t>
  </si>
  <si>
    <t>https://drive.google.com/file/d/128D9drzyTEF8mEaoylRCZgN29EfS4Vs-/view?usp=drivesdk</t>
  </si>
  <si>
    <t>https://drive.google.com/uc?export=view&amp;id=128D9drzyTEF8mEaoylRCZgN29EfS4Vs-</t>
  </si>
  <si>
    <t>Repartir muerte_bw.png</t>
  </si>
  <si>
    <t>Repartir muerte bw</t>
  </si>
  <si>
    <t>13km__bdqf5N9XNpyB9N-2Jl4156go5W9</t>
  </si>
  <si>
    <t>https://drive.google.com/file/d/13km__bdqf5N9XNpyB9N-2Jl4156go5W9/view?usp=drivesdk</t>
  </si>
  <si>
    <t>https://drive.google.com/uc?export=view&amp;id=13km__bdqf5N9XNpyB9N-2Jl4156go5W9</t>
  </si>
  <si>
    <t>Reprensión infernal.png</t>
  </si>
  <si>
    <t>Reprensión infernal</t>
  </si>
  <si>
    <t>1xei0-LDHz8JS7QySLKtEWMcScrCrrVpn</t>
  </si>
  <si>
    <t>https://drive.google.com/file/d/1xei0-LDHz8JS7QySLKtEWMcScrCrrVpn/view?usp=drivesdk</t>
  </si>
  <si>
    <t>https://drive.google.com/uc?export=view&amp;id=1xei0-LDHz8JS7QySLKtEWMcScrCrrVpn</t>
  </si>
  <si>
    <t>Reprensión infernal_bw.png</t>
  </si>
  <si>
    <t>Reprensión infernal bw</t>
  </si>
  <si>
    <t>1CJjSz_iAMUV14yIXAAtTsr_zKb4tNixV</t>
  </si>
  <si>
    <t>https://drive.google.com/file/d/1CJjSz_iAMUV14yIXAAtTsr_zKb4tNixV/view?usp=drivesdk</t>
  </si>
  <si>
    <t>https://drive.google.com/uc?export=view&amp;id=1CJjSz_iAMUV14yIXAAtTsr_zKb4tNixV</t>
  </si>
  <si>
    <t>Requiem de Benetnach.png</t>
  </si>
  <si>
    <t>Requiem de Benetnach</t>
  </si>
  <si>
    <t>1HRVqihH8yLr7UDrVufRQWOeci5OyRTAa</t>
  </si>
  <si>
    <t>https://drive.google.com/file/d/1HRVqihH8yLr7UDrVufRQWOeci5OyRTAa/view?usp=drivesdk</t>
  </si>
  <si>
    <t>https://drive.google.com/uc?export=view&amp;id=1HRVqihH8yLr7UDrVufRQWOeci5OyRTAa</t>
  </si>
  <si>
    <t>Resiliencia.png</t>
  </si>
  <si>
    <t>Resiliencia</t>
  </si>
  <si>
    <t>1Vg_818s0xfs8wnPq2nRH7GQ8-WzXhFQX</t>
  </si>
  <si>
    <t>https://drive.google.com/file/d/1Vg_818s0xfs8wnPq2nRH7GQ8-WzXhFQX/view?usp=drivesdk</t>
  </si>
  <si>
    <t>https://drive.google.com/uc?export=view&amp;id=1Vg_818s0xfs8wnPq2nRH7GQ8-WzXhFQX</t>
  </si>
  <si>
    <t>Resiliencia priónica.png</t>
  </si>
  <si>
    <t>Resiliencia priónica</t>
  </si>
  <si>
    <t>1q72GG3gcaEQU-AzdfGvdZjzcDCLIw8SH</t>
  </si>
  <si>
    <t>https://drive.google.com/file/d/1q72GG3gcaEQU-AzdfGvdZjzcDCLIw8SH/view?usp=drivesdk</t>
  </si>
  <si>
    <t>https://drive.google.com/uc?export=view&amp;id=1q72GG3gcaEQU-AzdfGvdZjzcDCLIw8SH</t>
  </si>
  <si>
    <t>Resina Adhesiva.png</t>
  </si>
  <si>
    <t>Resina Adhesiva</t>
  </si>
  <si>
    <t>1TQQgS379lj7FfnxjVnwe-YTs2HRnBleh</t>
  </si>
  <si>
    <t>https://drive.google.com/file/d/1TQQgS379lj7FfnxjVnwe-YTs2HRnBleh/view?usp=drivesdk</t>
  </si>
  <si>
    <t>https://drive.google.com/uc?export=view&amp;id=1TQQgS379lj7FfnxjVnwe-YTs2HRnBleh</t>
  </si>
  <si>
    <t>Resistencia.png</t>
  </si>
  <si>
    <t>Resistencia</t>
  </si>
  <si>
    <t>1yBW4WV7kR1nE6yGukOfb0mQbDt2vNzGt</t>
  </si>
  <si>
    <t>https://drive.google.com/file/d/1yBW4WV7kR1nE6yGukOfb0mQbDt2vNzGt/view?usp=drivesdk</t>
  </si>
  <si>
    <t>https://drive.google.com/uc?export=view&amp;id=1yBW4WV7kR1nE6yGukOfb0mQbDt2vNzGt</t>
  </si>
  <si>
    <t>Resistencia Implacable.png</t>
  </si>
  <si>
    <t>Resistencia Implacable</t>
  </si>
  <si>
    <t>1ckPBu94mTSvtwZVItN_IlO8bQWMCqytV</t>
  </si>
  <si>
    <t>https://drive.google.com/file/d/1ckPBu94mTSvtwZVItN_IlO8bQWMCqytV/view?usp=drivesdk</t>
  </si>
  <si>
    <t>https://drive.google.com/uc?export=view&amp;id=1ckPBu94mTSvtwZVItN_IlO8bQWMCqytV</t>
  </si>
  <si>
    <t>Resorte.png</t>
  </si>
  <si>
    <t>Resorte</t>
  </si>
  <si>
    <t>1If5OfucosV6q0gJiJWgal_EBYyRo52CO</t>
  </si>
  <si>
    <t>https://drive.google.com/file/d/1If5OfucosV6q0gJiJWgal_EBYyRo52CO/view?usp=drivesdk</t>
  </si>
  <si>
    <t>https://drive.google.com/uc?export=view&amp;id=1If5OfucosV6q0gJiJWgal_EBYyRo52CO</t>
  </si>
  <si>
    <t>Resplandor lunar.png</t>
  </si>
  <si>
    <t>Resplandor lunar</t>
  </si>
  <si>
    <t>1V9LFqdEeh5m9HNpBzwtXEhqowEdAdqKt</t>
  </si>
  <si>
    <t>https://drive.google.com/file/d/1V9LFqdEeh5m9HNpBzwtXEhqowEdAdqKt/view?usp=drivesdk</t>
  </si>
  <si>
    <t>https://drive.google.com/uc?export=view&amp;id=1V9LFqdEeh5m9HNpBzwtXEhqowEdAdqKt</t>
  </si>
  <si>
    <t>Resplandor lunar_bw.png</t>
  </si>
  <si>
    <t>Resplandor lunar bw</t>
  </si>
  <si>
    <t>1XGXWfX923VN5V86GAJX6gZSjv4--7Fyj</t>
  </si>
  <si>
    <t>https://drive.google.com/file/d/1XGXWfX923VN5V86GAJX6gZSjv4--7Fyj/view?usp=drivesdk</t>
  </si>
  <si>
    <t>https://drive.google.com/uc?export=view&amp;id=1XGXWfX923VN5V86GAJX6gZSjv4--7Fyj</t>
  </si>
  <si>
    <t>Restablecimiento.png</t>
  </si>
  <si>
    <t>Restablecimiento</t>
  </si>
  <si>
    <t>11znIia-mviuHaG_1INoGAGKhrWJynIsh</t>
  </si>
  <si>
    <t>https://drive.google.com/file/d/11znIia-mviuHaG_1INoGAGKhrWJynIsh/view?usp=drivesdk</t>
  </si>
  <si>
    <t>https://drive.google.com/uc?export=view&amp;id=11znIia-mviuHaG_1INoGAGKhrWJynIsh</t>
  </si>
  <si>
    <t>Restablecimiento_bw.png</t>
  </si>
  <si>
    <t>Restablecimiento bw</t>
  </si>
  <si>
    <t>1FlqVLwnmnDdYMef9HzlGJa687jEdevdV</t>
  </si>
  <si>
    <t>https://drive.google.com/file/d/1FlqVLwnmnDdYMef9HzlGJa687jEdevdV/view?usp=drivesdk</t>
  </si>
  <si>
    <t>https://drive.google.com/uc?export=view&amp;id=1FlqVLwnmnDdYMef9HzlGJa687jEdevdV</t>
  </si>
  <si>
    <t>Resucitar.png</t>
  </si>
  <si>
    <t>Resucitar</t>
  </si>
  <si>
    <t>1qCUZjqFZI7FyInach9GQCh5qrnsMq1nS</t>
  </si>
  <si>
    <t>https://drive.google.com/file/d/1qCUZjqFZI7FyInach9GQCh5qrnsMq1nS/view?usp=drivesdk</t>
  </si>
  <si>
    <t>https://drive.google.com/uc?export=view&amp;id=1qCUZjqFZI7FyInach9GQCh5qrnsMq1nS</t>
  </si>
  <si>
    <t>Robar.png</t>
  </si>
  <si>
    <t>Robar</t>
  </si>
  <si>
    <t>1d0nOYDYUPkxoNpLXDlpRTmZLlcGQdDJ1</t>
  </si>
  <si>
    <t>https://drive.google.com/file/d/1d0nOYDYUPkxoNpLXDlpRTmZLlcGQdDJ1/view?usp=drivesdk</t>
  </si>
  <si>
    <t>https://drive.google.com/uc?export=view&amp;id=1d0nOYDYUPkxoNpLXDlpRTmZLlcGQdDJ1</t>
  </si>
  <si>
    <t>Robar_bw.png</t>
  </si>
  <si>
    <t>Robar bw</t>
  </si>
  <si>
    <t>1gBYR4HsnTzbShzDbFYYpv9CjIshqHFDW</t>
  </si>
  <si>
    <t>https://drive.google.com/file/d/1gBYR4HsnTzbShzDbFYYpv9CjIshqHFDW/view?usp=drivesdk</t>
  </si>
  <si>
    <t>https://drive.google.com/uc?export=view&amp;id=1gBYR4HsnTzbShzDbFYYpv9CjIshqHFDW</t>
  </si>
  <si>
    <t>Rodela.jpg</t>
  </si>
  <si>
    <t>Rodela</t>
  </si>
  <si>
    <t>1MWKHk8V7AUS83fszF4SoROZqrnBEHnIk</t>
  </si>
  <si>
    <t>https://drive.google.com/file/d/1MWKHk8V7AUS83fszF4SoROZqrnBEHnIk/view?usp=drivesdk</t>
  </si>
  <si>
    <t>https://drive.google.com/uc?export=view&amp;id=1MWKHk8V7AUS83fszF4SoROZqrnBEHnIk</t>
  </si>
  <si>
    <t>Rugido.png</t>
  </si>
  <si>
    <t>Rugido</t>
  </si>
  <si>
    <t>16cg1Rd1QXbsUqhm-8Iuxugensn9tWmiZ</t>
  </si>
  <si>
    <t>https://drive.google.com/file/d/16cg1Rd1QXbsUqhm-8Iuxugensn9tWmiZ/view?usp=drivesdk</t>
  </si>
  <si>
    <t>https://drive.google.com/uc?export=view&amp;id=16cg1Rd1QXbsUqhm-8Iuxugensn9tWmiZ</t>
  </si>
  <si>
    <t>Rugido Amenazador.png</t>
  </si>
  <si>
    <t>Rugido Amenazador</t>
  </si>
  <si>
    <t>1a43Yi13MJdJ-XoVgN_NXE4NJDpfGCJ4n</t>
  </si>
  <si>
    <t>https://drive.google.com/file/d/1a43Yi13MJdJ-XoVgN_NXE4NJDpfGCJ4n/view?usp=drivesdk</t>
  </si>
  <si>
    <t>https://drive.google.com/uc?export=view&amp;id=1a43Yi13MJdJ-XoVgN_NXE4NJDpfGCJ4n</t>
  </si>
  <si>
    <t>Rugido Amenazador_bw.png</t>
  </si>
  <si>
    <t>Rugido Amenazador bw</t>
  </si>
  <si>
    <t>1uGnrm82YVkMJ8VvmhUuOliHwROmeVATx</t>
  </si>
  <si>
    <t>https://drive.google.com/file/d/1uGnrm82YVkMJ8VvmhUuOliHwROmeVATx/view?usp=drivesdk</t>
  </si>
  <si>
    <t>https://drive.google.com/uc?export=view&amp;id=1uGnrm82YVkMJ8VvmhUuOliHwROmeVATx</t>
  </si>
  <si>
    <t>Rugido_bw.png</t>
  </si>
  <si>
    <t>Rugido bw</t>
  </si>
  <si>
    <t>1egkmmOiIfLaXEclBUkuRqLb9J7KfKF73</t>
  </si>
  <si>
    <t>https://drive.google.com/file/d/1egkmmOiIfLaXEclBUkuRqLb9J7KfKF73/view?usp=drivesdk</t>
  </si>
  <si>
    <t>https://drive.google.com/uc?export=view&amp;id=1egkmmOiIfLaXEclBUkuRqLb9J7KfKF73</t>
  </si>
  <si>
    <t>Sabiduria.png</t>
  </si>
  <si>
    <t>Sabiduria</t>
  </si>
  <si>
    <t>13bo-c4LjMR5wYl7b7CREnS5MCgfRftrp</t>
  </si>
  <si>
    <t>https://drive.google.com/file/d/13bo-c4LjMR5wYl7b7CREnS5MCgfRftrp/view?usp=drivesdk</t>
  </si>
  <si>
    <t>https://drive.google.com/uc?export=view&amp;id=13bo-c4LjMR5wYl7b7CREnS5MCgfRftrp</t>
  </si>
  <si>
    <t>Sable.png</t>
  </si>
  <si>
    <t>Sable</t>
  </si>
  <si>
    <t>1AHvKpoHfTqIJ9K6ZTf2pD_vPMhQp8OI-</t>
  </si>
  <si>
    <t>https://drive.google.com/file/d/1AHvKpoHfTqIJ9K6ZTf2pD_vPMhQp8OI-/view?usp=drivesdk</t>
  </si>
  <si>
    <t>https://drive.google.com/uc?export=view&amp;id=1AHvKpoHfTqIJ9K6ZTf2pD_vPMhQp8OI-</t>
  </si>
  <si>
    <t>Sacrificio mágico.png</t>
  </si>
  <si>
    <t>Sacrificio mágico</t>
  </si>
  <si>
    <t>1YYt3FUD__yH2ga3La2DOV2e_vuiK1Rbx</t>
  </si>
  <si>
    <t>https://drive.google.com/file/d/1YYt3FUD__yH2ga3La2DOV2e_vuiK1Rbx/view?usp=drivesdk</t>
  </si>
  <si>
    <t>https://drive.google.com/uc?export=view&amp;id=1YYt3FUD__yH2ga3La2DOV2e_vuiK1Rbx</t>
  </si>
  <si>
    <t>Saeta guiada.png</t>
  </si>
  <si>
    <t>Saeta guiada</t>
  </si>
  <si>
    <t>1NEVKS0vAc5E33Z8z9cDht7UZMQck6h47</t>
  </si>
  <si>
    <t>https://drive.google.com/file/d/1NEVKS0vAc5E33Z8z9cDht7UZMQck6h47/view?usp=drivesdk</t>
  </si>
  <si>
    <t>https://drive.google.com/uc?export=view&amp;id=1NEVKS0vAc5E33Z8z9cDht7UZMQck6h47</t>
  </si>
  <si>
    <t>Saeta guiada_bw.png</t>
  </si>
  <si>
    <t>Saeta guiada bw</t>
  </si>
  <si>
    <t>161klJ-DMq58Ny-LekhfEA34HaaS231lw</t>
  </si>
  <si>
    <t>https://drive.google.com/file/d/161klJ-DMq58Ny-LekhfEA34HaaS231lw/view?usp=drivesdk</t>
  </si>
  <si>
    <t>https://drive.google.com/uc?export=view&amp;id=161klJ-DMq58Ny-LekhfEA34HaaS231lw</t>
  </si>
  <si>
    <t>Sahrah.png</t>
  </si>
  <si>
    <t>Sahrah</t>
  </si>
  <si>
    <t>1CFFuNDVkYh7LVCdDn2Ls1vnAq-NaPrda</t>
  </si>
  <si>
    <t>https://drive.google.com/file/d/1CFFuNDVkYh7LVCdDn2Ls1vnAq-NaPrda/view?usp=drivesdk</t>
  </si>
  <si>
    <t>https://drive.google.com/uc?export=view&amp;id=1CFFuNDVkYh7LVCdDn2Ls1vnAq-NaPrda</t>
  </si>
  <si>
    <t>Sal.png</t>
  </si>
  <si>
    <t>Sal</t>
  </si>
  <si>
    <t>1ipZGRSvtnlvQ61MKJEHy9oQU-wUeeyEa</t>
  </si>
  <si>
    <t>https://drive.google.com/file/d/1ipZGRSvtnlvQ61MKJEHy9oQU-wUeeyEa/view?usp=drivesdk</t>
  </si>
  <si>
    <t>https://drive.google.com/uc?export=view&amp;id=1ipZGRSvtnlvQ61MKJEHy9oQU-wUeeyEa</t>
  </si>
  <si>
    <t>Salud divina.png</t>
  </si>
  <si>
    <t>Salud divina</t>
  </si>
  <si>
    <t>1nWoUm9CYGPe9JfjISQkzeQluvhMN-X4O</t>
  </si>
  <si>
    <t>https://drive.google.com/file/d/1nWoUm9CYGPe9JfjISQkzeQluvhMN-X4O/view?usp=drivesdk</t>
  </si>
  <si>
    <t>https://drive.google.com/uc?export=view&amp;id=1nWoUm9CYGPe9JfjISQkzeQluvhMN-X4O</t>
  </si>
  <si>
    <t>Sanador bendecido.png</t>
  </si>
  <si>
    <t>Sanador bendecido</t>
  </si>
  <si>
    <t>14PzKf4Vpk29v6gPFemBmZgscbOPMLBm2</t>
  </si>
  <si>
    <t>https://drive.google.com/file/d/14PzKf4Vpk29v6gPFemBmZgscbOPMLBm2/view?usp=drivesdk</t>
  </si>
  <si>
    <t>https://drive.google.com/uc?export=view&amp;id=14PzKf4Vpk29v6gPFemBmZgscbOPMLBm2</t>
  </si>
  <si>
    <t>Scutum.png</t>
  </si>
  <si>
    <t>Scutum</t>
  </si>
  <si>
    <t>1HvJP0IY3hrUgBzVD9lm3vPzifIES0xeR</t>
  </si>
  <si>
    <t>https://drive.google.com/file/d/1HvJP0IY3hrUgBzVD9lm3vPzifIES0xeR/view?usp=drivesdk</t>
  </si>
  <si>
    <t>https://drive.google.com/uc?export=view&amp;id=1HvJP0IY3hrUgBzVD9lm3vPzifIES0xeR</t>
  </si>
  <si>
    <t>Segunda Invocación del pacto.png</t>
  </si>
  <si>
    <t>Segunda Invocación del pacto</t>
  </si>
  <si>
    <t>1TOv1xva0M7UOVyJOE4yQCPmOVinFIfM5</t>
  </si>
  <si>
    <t>https://drive.google.com/file/d/1TOv1xva0M7UOVyJOE4yQCPmOVinFIfM5/view?usp=drivesdk</t>
  </si>
  <si>
    <t>https://drive.google.com/uc?export=view&amp;id=1TOv1xva0M7UOVyJOE4yQCPmOVinFIfM5</t>
  </si>
  <si>
    <t>Segundo animal espiritual.png</t>
  </si>
  <si>
    <t>Segundo animal espiritual</t>
  </si>
  <si>
    <t>10UqD9VWNdQNuQnqq912HB9zJ2-_WPY_Y</t>
  </si>
  <si>
    <t>https://drive.google.com/file/d/10UqD9VWNdQNuQnqq912HB9zJ2-_WPY_Y/view?usp=drivesdk</t>
  </si>
  <si>
    <t>https://drive.google.com/uc?export=view&amp;id=10UqD9VWNdQNuQnqq912HB9zJ2-_WPY_Y</t>
  </si>
  <si>
    <t>Semiorco.png</t>
  </si>
  <si>
    <t>Semiorco</t>
  </si>
  <si>
    <t>1weKAHlGwDHWkv0mx0Q4HAFlFWupwYWWL</t>
  </si>
  <si>
    <t>https://drive.google.com/file/d/1weKAHlGwDHWkv0mx0Q4HAFlFWupwYWWL/view?usp=drivesdk</t>
  </si>
  <si>
    <t>https://drive.google.com/uc?export=view&amp;id=1weKAHlGwDHWkv0mx0Q4HAFlFWupwYWWL</t>
  </si>
  <si>
    <t>SEMIORCO_FEMENINO.png</t>
  </si>
  <si>
    <t>SEMIORCO FEMENINO</t>
  </si>
  <si>
    <t>1YYB6_uO0_WDhIFsDJ3UX_1Rtu73W4mow</t>
  </si>
  <si>
    <t>https://drive.google.com/file/d/1YYB6_uO0_WDhIFsDJ3UX_1Rtu73W4mow/view?usp=drivesdk</t>
  </si>
  <si>
    <t>https://drive.google.com/uc?export=view&amp;id=1YYB6_uO0_WDhIFsDJ3UX_1Rtu73W4mow</t>
  </si>
  <si>
    <t>SEMIORCO_MASCULINO.png</t>
  </si>
  <si>
    <t>SEMIORCO MASCULINO</t>
  </si>
  <si>
    <t>1mDj-LHQFWb82D9odGz5DE2JnGpqW52gB</t>
  </si>
  <si>
    <t>https://drive.google.com/file/d/1mDj-LHQFWb82D9odGz5DE2JnGpqW52gB/view?usp=drivesdk</t>
  </si>
  <si>
    <t>https://drive.google.com/uc?export=view&amp;id=1mDj-LHQFWb82D9odGz5DE2JnGpqW52gB</t>
  </si>
  <si>
    <t>Sentido ciego.png</t>
  </si>
  <si>
    <t>Sentido ciego</t>
  </si>
  <si>
    <t>1M7ZMUtOB3hUDgrpsHyu75IC5H_bap-Gl</t>
  </si>
  <si>
    <t>https://drive.google.com/file/d/1M7ZMUtOB3hUDgrpsHyu75IC5H_bap-Gl/view?usp=drivesdk</t>
  </si>
  <si>
    <t>https://drive.google.com/uc?export=view&amp;id=1M7ZMUtOB3hUDgrpsHyu75IC5H_bap-Gl</t>
  </si>
  <si>
    <t>Sentido ciego_bw.png</t>
  </si>
  <si>
    <t>Sentido ciego bw</t>
  </si>
  <si>
    <t>14gvzasbR-Opu8uLXaRVCzLzpmMHIZTTB</t>
  </si>
  <si>
    <t>https://drive.google.com/file/d/14gvzasbR-Opu8uLXaRVCzLzpmMHIZTTB/view?usp=drivesdk</t>
  </si>
  <si>
    <t>https://drive.google.com/uc?export=view&amp;id=14gvzasbR-Opu8uLXaRVCzLzpmMHIZTTB</t>
  </si>
  <si>
    <t>Sentido del peligro (Forajido).png</t>
  </si>
  <si>
    <t>Sentido del peligro (Forajido)</t>
  </si>
  <si>
    <t>1YlDgkIOqm5gVLebnzC2Om_M_e0CaOhGM</t>
  </si>
  <si>
    <t>https://drive.google.com/file/d/1YlDgkIOqm5gVLebnzC2Om_M_e0CaOhGM/view?usp=drivesdk</t>
  </si>
  <si>
    <t>https://drive.google.com/uc?export=view&amp;id=1YlDgkIOqm5gVLebnzC2Om_M_e0CaOhGM</t>
  </si>
  <si>
    <t>Sentido del peligro (Luchador).png</t>
  </si>
  <si>
    <t>Sentido del peligro (Luchador)</t>
  </si>
  <si>
    <t>13Rfa7gFFA8DdkZ1j7Vv2kc0AIBV2EmBl</t>
  </si>
  <si>
    <t>https://drive.google.com/file/d/13Rfa7gFFA8DdkZ1j7Vv2kc0AIBV2EmBl/view?usp=drivesdk</t>
  </si>
  <si>
    <t>https://drive.google.com/uc?export=view&amp;id=13Rfa7gFFA8DdkZ1j7Vv2kc0AIBV2EmBl</t>
  </si>
  <si>
    <t>Sentidos divinos.png</t>
  </si>
  <si>
    <t>Sentidos divinos</t>
  </si>
  <si>
    <t>1nZ0wzUHrRCfhIIb_uzQmYPhOVojKXzPi</t>
  </si>
  <si>
    <t>https://drive.google.com/file/d/1nZ0wzUHrRCfhIIb_uzQmYPhOVojKXzPi/view?usp=drivesdk</t>
  </si>
  <si>
    <t>https://drive.google.com/uc?export=view&amp;id=1nZ0wzUHrRCfhIIb_uzQmYPhOVojKXzPi</t>
  </si>
  <si>
    <t>Serpiente de vida.png</t>
  </si>
  <si>
    <t>Serpiente de vida</t>
  </si>
  <si>
    <t>1qXsvaF3bobm84x2c568xiZ8VDX0LWFIH</t>
  </si>
  <si>
    <t>https://drive.google.com/file/d/1qXsvaF3bobm84x2c568xiZ8VDX0LWFIH/view?usp=drivesdk</t>
  </si>
  <si>
    <t>https://drive.google.com/uc?export=view&amp;id=1qXsvaF3bobm84x2c568xiZ8VDX0LWFIH</t>
  </si>
  <si>
    <t>Seta parda.png</t>
  </si>
  <si>
    <t>Seta parda</t>
  </si>
  <si>
    <t>1528nnhYI52_LaO2XVA-5A9plHj66aGiR</t>
  </si>
  <si>
    <t>https://drive.google.com/file/d/1528nnhYI52_LaO2XVA-5A9plHj66aGiR/view?usp=drivesdk</t>
  </si>
  <si>
    <t>https://drive.google.com/uc?export=view&amp;id=1528nnhYI52_LaO2XVA-5A9plHj66aGiR</t>
  </si>
  <si>
    <t>Seta violeta.png</t>
  </si>
  <si>
    <t>Seta violeta</t>
  </si>
  <si>
    <t>1W4xldxMPlbVHRfzHHs4s0ww9ApvF9GoE</t>
  </si>
  <si>
    <t>https://drive.google.com/file/d/1W4xldxMPlbVHRfzHHs4s0ww9ApvF9GoE/view?usp=drivesdk</t>
  </si>
  <si>
    <t>https://drive.google.com/uc?export=view&amp;id=1W4xldxMPlbVHRfzHHs4s0ww9ApvF9GoE</t>
  </si>
  <si>
    <t>Sigilo.png</t>
  </si>
  <si>
    <t>Sigilo</t>
  </si>
  <si>
    <t>1fASJYZKZid3SxxORfG7R2v9GlGxl3R5b</t>
  </si>
  <si>
    <t>https://drive.google.com/file/d/1fASJYZKZid3SxxORfG7R2v9GlGxl3R5b/view?usp=drivesdk</t>
  </si>
  <si>
    <t>https://drive.google.com/uc?export=view&amp;id=1fASJYZKZid3SxxORfG7R2v9GlGxl3R5b</t>
  </si>
  <si>
    <t>Sigilo supremo.png</t>
  </si>
  <si>
    <t>Sigilo supremo</t>
  </si>
  <si>
    <t>1tQJitECMesOhR2cbwBKZvBmr-XBRIlxS</t>
  </si>
  <si>
    <t>https://drive.google.com/file/d/1tQJitECMesOhR2cbwBKZvBmr-XBRIlxS/view?usp=drivesdk</t>
  </si>
  <si>
    <t>https://drive.google.com/uc?export=view&amp;id=1tQJitECMesOhR2cbwBKZvBmr-XBRIlxS</t>
  </si>
  <si>
    <t>Sigilo supremo_bw.png</t>
  </si>
  <si>
    <t>Sigilo supremo bw</t>
  </si>
  <si>
    <t>1eZuQPrNXvirnXGsXQq1gYCz3qtIf25a6</t>
  </si>
  <si>
    <t>https://drive.google.com/file/d/1eZuQPrNXvirnXGsXQq1gYCz3qtIf25a6/view?usp=drivesdk</t>
  </si>
  <si>
    <t>https://drive.google.com/uc?export=view&amp;id=1eZuQPrNXvirnXGsXQq1gYCz3qtIf25a6</t>
  </si>
  <si>
    <t>Solar.png</t>
  </si>
  <si>
    <t>Solar</t>
  </si>
  <si>
    <t>108EcG5Ovv3_842ZP68qXhFegdNGr-48m</t>
  </si>
  <si>
    <t>https://drive.google.com/file/d/108EcG5Ovv3_842ZP68qXhFegdNGr-48m/view?usp=drivesdk</t>
  </si>
  <si>
    <t>https://drive.google.com/uc?export=view&amp;id=108EcG5Ovv3_842ZP68qXhFegdNGr-48m</t>
  </si>
  <si>
    <t>Sonata de la Memoria.png</t>
  </si>
  <si>
    <t>Sonata de la Memoria</t>
  </si>
  <si>
    <t>1YJXDTR45ZSY_FUBXpw-UywBgGrtOq34m</t>
  </si>
  <si>
    <t>https://drive.google.com/file/d/1YJXDTR45ZSY_FUBXpw-UywBgGrtOq34m/view?usp=drivesdk</t>
  </si>
  <si>
    <t>https://drive.google.com/uc?export=view&amp;id=1YJXDTR45ZSY_FUBXpw-UywBgGrtOq34m</t>
  </si>
  <si>
    <t>Sonata del Valle.png</t>
  </si>
  <si>
    <t>Sonata del Valle</t>
  </si>
  <si>
    <t>1DywbpLQnB2qwuu5Kk6wO6m1fS_AyHCfX</t>
  </si>
  <si>
    <t>https://drive.google.com/file/d/1DywbpLQnB2qwuu5Kk6wO6m1fS_AyHCfX/view?usp=drivesdk</t>
  </si>
  <si>
    <t>https://drive.google.com/uc?export=view&amp;id=1DywbpLQnB2qwuu5Kk6wO6m1fS_AyHCfX</t>
  </si>
  <si>
    <t>Sopa de Pescado.png</t>
  </si>
  <si>
    <t>Sopa de Pescado</t>
  </si>
  <si>
    <t>1NHom9Mfpo8XXlF3NUvyDyEoYvmH6Ht44</t>
  </si>
  <si>
    <t>https://drive.google.com/file/d/1NHom9Mfpo8XXlF3NUvyDyEoYvmH6Ht44/view?usp=drivesdk</t>
  </si>
  <si>
    <t>https://drive.google.com/uc?export=view&amp;id=1NHom9Mfpo8XXlF3NUvyDyEoYvmH6Ht44</t>
  </si>
  <si>
    <t>Sugestión.png</t>
  </si>
  <si>
    <t>Sugestión</t>
  </si>
  <si>
    <t>1X1fSyTpIOHlg5HVPxXVSMozSpRk4WDOP</t>
  </si>
  <si>
    <t>https://drive.google.com/file/d/1X1fSyTpIOHlg5HVPxXVSMozSpRk4WDOP/view?usp=drivesdk</t>
  </si>
  <si>
    <t>https://drive.google.com/uc?export=view&amp;id=1X1fSyTpIOHlg5HVPxXVSMozSpRk4WDOP</t>
  </si>
  <si>
    <t>Sugestión_bw.png</t>
  </si>
  <si>
    <t>Sugestión bw</t>
  </si>
  <si>
    <t>154DNqpK-dEsiBw-2A6DRZyV5KfC-fOSD</t>
  </si>
  <si>
    <t>https://drive.google.com/file/d/154DNqpK-dEsiBw-2A6DRZyV5KfC-fOSD/view?usp=drivesdk</t>
  </si>
  <si>
    <t>https://drive.google.com/uc?export=view&amp;id=154DNqpK-dEsiBw-2A6DRZyV5KfC-fOSD</t>
  </si>
  <si>
    <t>Supervivencia.png</t>
  </si>
  <si>
    <t>Supervivencia</t>
  </si>
  <si>
    <t>1O2E8j3ni4ovGSRNb1_kgzk3Kt7cEZe55</t>
  </si>
  <si>
    <t>https://drive.google.com/file/d/1O2E8j3ni4ovGSRNb1_kgzk3Kt7cEZe55/view?usp=drivesdk</t>
  </si>
  <si>
    <t>https://drive.google.com/uc?export=view&amp;id=1O2E8j3ni4ovGSRNb1_kgzk3Kt7cEZe55</t>
  </si>
  <si>
    <t>Superviviente.png</t>
  </si>
  <si>
    <t>Superviviente</t>
  </si>
  <si>
    <t>1EAJv1JgMY3s7ClBPcSj0-wDld-UP2mR3</t>
  </si>
  <si>
    <t>https://drive.google.com/file/d/1EAJv1JgMY3s7ClBPcSj0-wDld-UP2mR3/view?usp=drivesdk</t>
  </si>
  <si>
    <t>https://drive.google.com/uc?export=view&amp;id=1EAJv1JgMY3s7ClBPcSj0-wDld-UP2mR3</t>
  </si>
  <si>
    <t>Superviviente_bw.png</t>
  </si>
  <si>
    <t>Superviviente bw</t>
  </si>
  <si>
    <t>1Vu0fMuo3prZbMYE1ImsMcRPBDkegafSi</t>
  </si>
  <si>
    <t>https://drive.google.com/file/d/1Vu0fMuo3prZbMYE1ImsMcRPBDkegafSi/view?usp=drivesdk</t>
  </si>
  <si>
    <t>https://drive.google.com/uc?export=view&amp;id=1Vu0fMuo3prZbMYE1ImsMcRPBDkegafSi</t>
  </si>
  <si>
    <t>T. Bloqueo.png</t>
  </si>
  <si>
    <t>T. Bloqueo</t>
  </si>
  <si>
    <t>1impoyutkdVIuINw58qELfK3xXh8jY32A</t>
  </si>
  <si>
    <t>https://drive.google.com/file/d/1impoyutkdVIuINw58qELfK3xXh8jY32A/view?usp=drivesdk</t>
  </si>
  <si>
    <t>https://drive.google.com/uc?export=view&amp;id=1impoyutkdVIuINw58qELfK3xXh8jY32A</t>
  </si>
  <si>
    <t>T. Conjuro.png</t>
  </si>
  <si>
    <t>T. Conjuro</t>
  </si>
  <si>
    <t>1EloKA3Yn-kU3B-ZDgZWpi_Cozw9FuXPF</t>
  </si>
  <si>
    <t>https://drive.google.com/file/d/1EloKA3Yn-kU3B-ZDgZWpi_Cozw9FuXPF/view?usp=drivesdk</t>
  </si>
  <si>
    <t>https://drive.google.com/uc?export=view&amp;id=1EloKA3Yn-kU3B-ZDgZWpi_Cozw9FuXPF</t>
  </si>
  <si>
    <t>T. Cuerpo a Cuerpo.png</t>
  </si>
  <si>
    <t>T. Cuerpo a Cuerpo</t>
  </si>
  <si>
    <t>1VFaW7dmsD6C-MMQeQyi2HEQquPsxqUUs</t>
  </si>
  <si>
    <t>https://drive.google.com/file/d/1VFaW7dmsD6C-MMQeQyi2HEQquPsxqUUs/view?usp=drivesdk</t>
  </si>
  <si>
    <t>https://drive.google.com/uc?export=view&amp;id=1VFaW7dmsD6C-MMQeQyi2HEQquPsxqUUs</t>
  </si>
  <si>
    <t>T. Distancia.png</t>
  </si>
  <si>
    <t>T. Distancia</t>
  </si>
  <si>
    <t>1hPgEv8yck4W7dxN3_-5IPnbkwctitu2P</t>
  </si>
  <si>
    <t>https://drive.google.com/file/d/1hPgEv8yck4W7dxN3_-5IPnbkwctitu2P/view?usp=drivesdk</t>
  </si>
  <si>
    <t>https://drive.google.com/uc?export=view&amp;id=1hPgEv8yck4W7dxN3_-5IPnbkwctitu2P</t>
  </si>
  <si>
    <t>T. Eludir.png</t>
  </si>
  <si>
    <t>T. Eludir</t>
  </si>
  <si>
    <t>1Ip8pirtY72h_vu47CNT1dydRCnS-RHOm</t>
  </si>
  <si>
    <t>https://drive.google.com/file/d/1Ip8pirtY72h_vu47CNT1dydRCnS-RHOm/view?usp=drivesdk</t>
  </si>
  <si>
    <t>https://drive.google.com/uc?export=view&amp;id=1Ip8pirtY72h_vu47CNT1dydRCnS-RHOm</t>
  </si>
  <si>
    <t>T. Encantamiento.png</t>
  </si>
  <si>
    <t>T. Encantamiento</t>
  </si>
  <si>
    <t>1QXpY_C-f4ai6COHcIp7rytEQ0GG_x1jW</t>
  </si>
  <si>
    <t>https://drive.google.com/file/d/1QXpY_C-f4ai6COHcIp7rytEQ0GG_x1jW/view?usp=drivesdk</t>
  </si>
  <si>
    <t>https://drive.google.com/uc?export=view&amp;id=1QXpY_C-f4ai6COHcIp7rytEQ0GG_x1jW</t>
  </si>
  <si>
    <t>Tambor de Guerra.png</t>
  </si>
  <si>
    <t>Tambor de Guerra</t>
  </si>
  <si>
    <t>1fxzEHvemxgBj29oCrvlNCvzbyXS-zYpx</t>
  </si>
  <si>
    <t>https://drive.google.com/file/d/1fxzEHvemxgBj29oCrvlNCvzbyXS-zYpx/view?usp=drivesdk</t>
  </si>
  <si>
    <t>https://drive.google.com/uc?export=view&amp;id=1fxzEHvemxgBj29oCrvlNCvzbyXS-zYpx</t>
  </si>
  <si>
    <t>Tambor de Mano.png</t>
  </si>
  <si>
    <t>Tambor de Mano</t>
  </si>
  <si>
    <t>1-FYr6HrECEw1V8H23DEzuwZwL_DPRnkU</t>
  </si>
  <si>
    <t>https://drive.google.com/file/d/1-FYr6HrECEw1V8H23DEzuwZwL_DPRnkU/view?usp=drivesdk</t>
  </si>
  <si>
    <t>https://drive.google.com/uc?export=view&amp;id=1-FYr6HrECEw1V8H23DEzuwZwL_DPRnkU</t>
  </si>
  <si>
    <t>Tapado de pieles.png</t>
  </si>
  <si>
    <t>Tapado de pieles</t>
  </si>
  <si>
    <t>1YfBAznujkJQGIQdUtnV1i9ZCDe0nVLAs</t>
  </si>
  <si>
    <t>https://drive.google.com/file/d/1YfBAznujkJQGIQdUtnV1i9ZCDe0nVLAs/view?usp=drivesdk</t>
  </si>
  <si>
    <t>https://drive.google.com/uc?export=view&amp;id=1YfBAznujkJQGIQdUtnV1i9ZCDe0nVLAs</t>
  </si>
  <si>
    <t>Tazón.png</t>
  </si>
  <si>
    <t>Tazón</t>
  </si>
  <si>
    <t>1jgCsKWxnZbWDYRqDyhrdq2Jk2YcT-Qms</t>
  </si>
  <si>
    <t>https://drive.google.com/file/d/1jgCsKWxnZbWDYRqDyhrdq2Jk2YcT-Qms/view?usp=drivesdk</t>
  </si>
  <si>
    <t>https://drive.google.com/uc?export=view&amp;id=1jgCsKWxnZbWDYRqDyhrdq2Jk2YcT-Qms</t>
  </si>
  <si>
    <t>Tazón de Avena.png</t>
  </si>
  <si>
    <t>Tazón de Avena</t>
  </si>
  <si>
    <t>1x9cPuTxLJXdRwI4WFiZurCyHKQgB1kO-</t>
  </si>
  <si>
    <t>https://drive.google.com/file/d/1x9cPuTxLJXdRwI4WFiZurCyHKQgB1kO-/view?usp=drivesdk</t>
  </si>
  <si>
    <t>https://drive.google.com/uc?export=view&amp;id=1x9cPuTxLJXdRwI4WFiZurCyHKQgB1kO-</t>
  </si>
  <si>
    <t>Telequinesis.png</t>
  </si>
  <si>
    <t>Telequinesis</t>
  </si>
  <si>
    <t>1CqDjmFfTfQoBSwuBgc7FPmW6FywG-wxk</t>
  </si>
  <si>
    <t>https://drive.google.com/file/d/1CqDjmFfTfQoBSwuBgc7FPmW6FywG-wxk/view?usp=drivesdk</t>
  </si>
  <si>
    <t>https://drive.google.com/uc?export=view&amp;id=1CqDjmFfTfQoBSwuBgc7FPmW6FywG-wxk</t>
  </si>
  <si>
    <t>Telequinesis_bw.png</t>
  </si>
  <si>
    <t>Telequinesis bw</t>
  </si>
  <si>
    <t>1RMj4w24ikpGmjn647oFNdOsJpREhH6GZ</t>
  </si>
  <si>
    <t>https://drive.google.com/file/d/1RMj4w24ikpGmjn647oFNdOsJpREhH6GZ/view?usp=drivesdk</t>
  </si>
  <si>
    <t>https://drive.google.com/uc?export=view&amp;id=1RMj4w24ikpGmjn647oFNdOsJpREhH6GZ</t>
  </si>
  <si>
    <t>Temblor.png</t>
  </si>
  <si>
    <t>Temblor</t>
  </si>
  <si>
    <t>1oCFWdUAoE9ZPmnqzQtdQBOBNlsis-J3q</t>
  </si>
  <si>
    <t>https://drive.google.com/file/d/1oCFWdUAoE9ZPmnqzQtdQBOBNlsis-J3q/view?usp=drivesdk</t>
  </si>
  <si>
    <t>https://drive.google.com/uc?export=view&amp;id=1oCFWdUAoE9ZPmnqzQtdQBOBNlsis-J3q</t>
  </si>
  <si>
    <t>Temblor_bw.png</t>
  </si>
  <si>
    <t>Temblor bw</t>
  </si>
  <si>
    <t>1xsF6kyv8cwp5SLR70azD7byxF_mpvmr5</t>
  </si>
  <si>
    <t>https://drive.google.com/file/d/1xsF6kyv8cwp5SLR70azD7byxF_mpvmr5/view?usp=drivesdk</t>
  </si>
  <si>
    <t>https://drive.google.com/uc?export=view&amp;id=1xsF6kyv8cwp5SLR70azD7byxF_mpvmr5</t>
  </si>
  <si>
    <t>Tercer animal espiritual.png</t>
  </si>
  <si>
    <t>Tercer animal espiritual</t>
  </si>
  <si>
    <t>1MuP75rw-f8mM2rXlh3fPr77I4189HHpA</t>
  </si>
  <si>
    <t>https://drive.google.com/file/d/1MuP75rw-f8mM2rXlh3fPr77I4189HHpA/view?usp=drivesdk</t>
  </si>
  <si>
    <t>https://drive.google.com/uc?export=view&amp;id=1MuP75rw-f8mM2rXlh3fPr77I4189HHpA</t>
  </si>
  <si>
    <t>Terra-ita.png</t>
  </si>
  <si>
    <t>Terra-ita</t>
  </si>
  <si>
    <t>10pC-DIQUINqDFZiR40n4DAHZ-KutKgxJ</t>
  </si>
  <si>
    <t>https://drive.google.com/file/d/10pC-DIQUINqDFZiR40n4DAHZ-KutKgxJ/view?usp=drivesdk</t>
  </si>
  <si>
    <t>https://drive.google.com/uc?export=view&amp;id=10pC-DIQUINqDFZiR40n4DAHZ-KutKgxJ</t>
  </si>
  <si>
    <t>TERRA-ITA_FEMENINO.png</t>
  </si>
  <si>
    <t>TERRA-ITA FEMENINO</t>
  </si>
  <si>
    <t>1YFegDv9BTcK6To3Z2K5Lj4jet62Bfmsx</t>
  </si>
  <si>
    <t>https://drive.google.com/file/d/1YFegDv9BTcK6To3Z2K5Lj4jet62Bfmsx/view?usp=drivesdk</t>
  </si>
  <si>
    <t>https://drive.google.com/uc?export=view&amp;id=1YFegDv9BTcK6To3Z2K5Lj4jet62Bfmsx</t>
  </si>
  <si>
    <t>TERRA-ITA_MASCULINO.png</t>
  </si>
  <si>
    <t>TERRA-ITA MASCULINO</t>
  </si>
  <si>
    <t>1nkkjJcOPCpP7lvod6HzpoFGiIqIvqlFh</t>
  </si>
  <si>
    <t>https://drive.google.com/file/d/1nkkjJcOPCpP7lvod6HzpoFGiIqIvqlFh/view?usp=drivesdk</t>
  </si>
  <si>
    <t>https://drive.google.com/uc?export=view&amp;id=1nkkjJcOPCpP7lvod6HzpoFGiIqIvqlFh</t>
  </si>
  <si>
    <t>Terror.png</t>
  </si>
  <si>
    <t>Terror</t>
  </si>
  <si>
    <t>1drrZIEJM0jT85asYJIEuG-Mk2vS3bDF8</t>
  </si>
  <si>
    <t>https://drive.google.com/file/d/1drrZIEJM0jT85asYJIEuG-Mk2vS3bDF8/view?usp=drivesdk</t>
  </si>
  <si>
    <t>https://drive.google.com/uc?export=view&amp;id=1drrZIEJM0jT85asYJIEuG-Mk2vS3bDF8</t>
  </si>
  <si>
    <t>Terror_bw.png</t>
  </si>
  <si>
    <t>Terror bw</t>
  </si>
  <si>
    <t>1oOY1e-sjEgqfkCIDKQ25uBlBIPq2OdjZ</t>
  </si>
  <si>
    <t>https://drive.google.com/file/d/1oOY1e-sjEgqfkCIDKQ25uBlBIPq2OdjZ/view?usp=drivesdk</t>
  </si>
  <si>
    <t>https://drive.google.com/uc?export=view&amp;id=1oOY1e-sjEgqfkCIDKQ25uBlBIPq2OdjZ</t>
  </si>
  <si>
    <t>Tomar distancia.png</t>
  </si>
  <si>
    <t>Tomar distancia</t>
  </si>
  <si>
    <t>1xk_nTBPNU2WIBVjT68wM5Ik4mGZE8BDR</t>
  </si>
  <si>
    <t>https://drive.google.com/file/d/1xk_nTBPNU2WIBVjT68wM5Ik4mGZE8BDR/view?usp=drivesdk</t>
  </si>
  <si>
    <t>https://drive.google.com/uc?export=view&amp;id=1xk_nTBPNU2WIBVjT68wM5Ik4mGZE8BDR</t>
  </si>
  <si>
    <t>Tomar distancia_bw.png</t>
  </si>
  <si>
    <t>Tomar distancia bw</t>
  </si>
  <si>
    <t>1EyXjyzdrubTk0aEl3cahMdxoFDlPTbfe</t>
  </si>
  <si>
    <t>https://drive.google.com/file/d/1EyXjyzdrubTk0aEl3cahMdxoFDlPTbfe/view?usp=drivesdk</t>
  </si>
  <si>
    <t>https://drive.google.com/uc?export=view&amp;id=1EyXjyzdrubTk0aEl3cahMdxoFDlPTbfe</t>
  </si>
  <si>
    <t>Toque Vampírico.png</t>
  </si>
  <si>
    <t>Toque Vampírico</t>
  </si>
  <si>
    <t>178zlSL6v0X8LJcR-NseYmzlZ1n6sv3AX</t>
  </si>
  <si>
    <t>https://drive.google.com/file/d/178zlSL6v0X8LJcR-NseYmzlZ1n6sv3AX/view?usp=drivesdk</t>
  </si>
  <si>
    <t>https://drive.google.com/uc?export=view&amp;id=178zlSL6v0X8LJcR-NseYmzlZ1n6sv3AX</t>
  </si>
  <si>
    <t>Toque Vampírico_bw.png</t>
  </si>
  <si>
    <t>Toque Vampírico bw</t>
  </si>
  <si>
    <t>1SIdJdkQ5B11SGwUyMNK-C3ymW7-eswhn</t>
  </si>
  <si>
    <t>https://drive.google.com/file/d/1SIdJdkQ5B11SGwUyMNK-C3ymW7-eswhn/view?usp=drivesdk</t>
  </si>
  <si>
    <t>https://drive.google.com/uc?export=view&amp;id=1SIdJdkQ5B11SGwUyMNK-C3ymW7-eswhn</t>
  </si>
  <si>
    <t>Torbellino.png</t>
  </si>
  <si>
    <t>Torbellino</t>
  </si>
  <si>
    <t>1w4iLuyOvLuXqUf_eU3g091RnL8ik8URZ</t>
  </si>
  <si>
    <t>https://drive.google.com/file/d/1w4iLuyOvLuXqUf_eU3g091RnL8ik8URZ/view?usp=drivesdk</t>
  </si>
  <si>
    <t>https://drive.google.com/uc?export=view&amp;id=1w4iLuyOvLuXqUf_eU3g091RnL8ik8URZ</t>
  </si>
  <si>
    <t>Torbellino_bw.png</t>
  </si>
  <si>
    <t>Torbellino bw</t>
  </si>
  <si>
    <t>1Z5mDOSyyT8mZ8-IF8otzlBwA5-Hs158M</t>
  </si>
  <si>
    <t>https://drive.google.com/file/d/1Z5mDOSyyT8mZ8-IF8otzlBwA5-Hs158M/view?usp=drivesdk</t>
  </si>
  <si>
    <t>https://drive.google.com/uc?export=view&amp;id=1Z5mDOSyyT8mZ8-IF8otzlBwA5-Hs158M</t>
  </si>
  <si>
    <t>Torso Generico.png</t>
  </si>
  <si>
    <t>Torso Generico</t>
  </si>
  <si>
    <t>12Pv9SeDQ9hdTErLxS0KLU91-J_1TjFBd</t>
  </si>
  <si>
    <t>https://drive.google.com/file/d/12Pv9SeDQ9hdTErLxS0KLU91-J_1TjFBd/view?usp=drivesdk</t>
  </si>
  <si>
    <t>https://drive.google.com/uc?export=view&amp;id=12Pv9SeDQ9hdTErLxS0KLU91-J_1TjFBd</t>
  </si>
  <si>
    <t>Trampa Aturdidora.png</t>
  </si>
  <si>
    <t>Trampa Aturdidora</t>
  </si>
  <si>
    <t>1_KSsMKG8TZZ3FkHJsFpGLC5QaqA5Uqby</t>
  </si>
  <si>
    <t>https://drive.google.com/file/d/1_KSsMKG8TZZ3FkHJsFpGLC5QaqA5Uqby/view?usp=drivesdk</t>
  </si>
  <si>
    <t>https://drive.google.com/uc?export=view&amp;id=1_KSsMKG8TZZ3FkHJsFpGLC5QaqA5Uqby</t>
  </si>
  <si>
    <t>Trampa con Púas.png</t>
  </si>
  <si>
    <t>Trampa con Púas</t>
  </si>
  <si>
    <t>1gT4qM2-taXizp-6-mUcIa5-2CzapZe8F</t>
  </si>
  <si>
    <t>https://drive.google.com/file/d/1gT4qM2-taXizp-6-mUcIa5-2CzapZe8F/view?usp=drivesdk</t>
  </si>
  <si>
    <t>https://drive.google.com/uc?export=view&amp;id=1gT4qM2-taXizp-6-mUcIa5-2CzapZe8F</t>
  </si>
  <si>
    <t>Trampa de Foso con Púas.png</t>
  </si>
  <si>
    <t>Trampa de Foso con Púas</t>
  </si>
  <si>
    <t>1igdCU_K7XVpZ6p-YuKOHgNVaoY3t90jl</t>
  </si>
  <si>
    <t>https://drive.google.com/file/d/1igdCU_K7XVpZ6p-YuKOHgNVaoY3t90jl/view?usp=drivesdk</t>
  </si>
  <si>
    <t>https://drive.google.com/uc?export=view&amp;id=1igdCU_K7XVpZ6p-YuKOHgNVaoY3t90jl</t>
  </si>
  <si>
    <t>Trampa de Lazo.png</t>
  </si>
  <si>
    <t>Trampa de Lazo</t>
  </si>
  <si>
    <t>1NhMXvC_tWt5EJj9JW9womCH_50Q4sFZq</t>
  </si>
  <si>
    <t>https://drive.google.com/file/d/1NhMXvC_tWt5EJj9JW9womCH_50Q4sFZq/view?usp=drivesdk</t>
  </si>
  <si>
    <t>https://drive.google.com/uc?export=view&amp;id=1NhMXvC_tWt5EJj9JW9womCH_50Q4sFZq</t>
  </si>
  <si>
    <t>Trampa Envenenada.png</t>
  </si>
  <si>
    <t>Trampa Envenenada</t>
  </si>
  <si>
    <t>1UacGgMw1gWaxsUz8C6C_hAYBLI_ZJ4I0</t>
  </si>
  <si>
    <t>https://drive.google.com/file/d/1UacGgMw1gWaxsUz8C6C_hAYBLI_ZJ4I0/view?usp=drivesdk</t>
  </si>
  <si>
    <t>https://drive.google.com/uc?export=view&amp;id=1UacGgMw1gWaxsUz8C6C_hAYBLI_ZJ4I0</t>
  </si>
  <si>
    <t>Trampa incendiaria.png</t>
  </si>
  <si>
    <t>Trampa incendiaria</t>
  </si>
  <si>
    <t>1cRo3m6os6eaLllhffr6-1fqqZCQsRECf</t>
  </si>
  <si>
    <t>https://drive.google.com/file/d/1cRo3m6os6eaLllhffr6-1fqqZCQsRECf/view?usp=drivesdk</t>
  </si>
  <si>
    <t>https://drive.google.com/uc?export=view&amp;id=1cRo3m6os6eaLllhffr6-1fqqZCQsRECf</t>
  </si>
  <si>
    <t>Trampa Para Osos.png</t>
  </si>
  <si>
    <t>Trampa Para Osos</t>
  </si>
  <si>
    <t>1-Od5CVeeaNwNpL4OB7ZMCFwNSi59Awb-</t>
  </si>
  <si>
    <t>https://drive.google.com/file/d/1-Od5CVeeaNwNpL4OB7ZMCFwNSi59Awb-/view?usp=drivesdk</t>
  </si>
  <si>
    <t>https://drive.google.com/uc?export=view&amp;id=1-Od5CVeeaNwNpL4OB7ZMCFwNSi59Awb-</t>
  </si>
  <si>
    <t>Trampero.png</t>
  </si>
  <si>
    <t>1QlU0x6UhH4QSctT3qgkTdzNomQKhAYcN</t>
  </si>
  <si>
    <t>https://drive.google.com/file/d/1QlU0x6UhH4QSctT3qgkTdzNomQKhAYcN/view?usp=drivesdk</t>
  </si>
  <si>
    <t>https://drive.google.com/uc?export=view&amp;id=1QlU0x6UhH4QSctT3qgkTdzNomQKhAYcN</t>
  </si>
  <si>
    <t>Trasga con cuchillos femenino.png</t>
  </si>
  <si>
    <t>Trasga con cuchillos femenino</t>
  </si>
  <si>
    <t>18Ajfjz0zFHOucgrN-kmjCyQDjtiRvSxB</t>
  </si>
  <si>
    <t>https://drive.google.com/file/d/18Ajfjz0zFHOucgrN-kmjCyQDjtiRvSxB/view?usp=drivesdk</t>
  </si>
  <si>
    <t>https://drive.google.com/uc?export=view&amp;id=18Ajfjz0zFHOucgrN-kmjCyQDjtiRvSxB</t>
  </si>
  <si>
    <t>Trasgos</t>
  </si>
  <si>
    <t>1wgiMISHeI_gMgf2R5RJLpbzSxGiwk5Gx</t>
  </si>
  <si>
    <t>Trasgo.png</t>
  </si>
  <si>
    <t>Trasgo</t>
  </si>
  <si>
    <t>13kfWxu66k7PJFDBbXT13uTV8unLMRvQQ</t>
  </si>
  <si>
    <t>https://drive.google.com/file/d/13kfWxu66k7PJFDBbXT13uTV8unLMRvQQ/view?usp=drivesdk</t>
  </si>
  <si>
    <t>https://drive.google.com/uc?export=view&amp;id=13kfWxu66k7PJFDBbXT13uTV8unLMRvQQ</t>
  </si>
  <si>
    <t>trasgo Chamán.png</t>
  </si>
  <si>
    <t>Trasgo Chamán</t>
  </si>
  <si>
    <t>1j5FkVuDKQsfxEiHJUnxJUqiNO2YE3C49</t>
  </si>
  <si>
    <t>https://drive.google.com/file/d/1j5FkVuDKQsfxEiHJUnxJUqiNO2YE3C49/view?usp=drivesdk</t>
  </si>
  <si>
    <t>https://drive.google.com/uc?export=view&amp;id=1j5FkVuDKQsfxEiHJUnxJUqiNO2YE3C49</t>
  </si>
  <si>
    <t>Trasgo con cuchillos.png</t>
  </si>
  <si>
    <t>Trasgo con cuchillos</t>
  </si>
  <si>
    <t>1BPZspVKYq003F7-aHNTiCmZhi8XciN4S</t>
  </si>
  <si>
    <t>https://drive.google.com/file/d/1BPZspVKYq003F7-aHNTiCmZhi8XciN4S/view?usp=drivesdk</t>
  </si>
  <si>
    <t>https://drive.google.com/uc?export=view&amp;id=1BPZspVKYq003F7-aHNTiCmZhi8XciN4S</t>
  </si>
  <si>
    <t>Trasgo con cuchillos masculino.png</t>
  </si>
  <si>
    <t>Trasgo con cuchillos masculino</t>
  </si>
  <si>
    <t>1XqN62yd0Yo26imYZXm9ieg900VU-pcNy</t>
  </si>
  <si>
    <t>https://drive.google.com/file/d/1XqN62yd0Yo26imYZXm9ieg900VU-pcNy/view?usp=drivesdk</t>
  </si>
  <si>
    <t>https://drive.google.com/uc?export=view&amp;id=1XqN62yd0Yo26imYZXm9ieg900VU-pcNy</t>
  </si>
  <si>
    <t>TRASGO_FEMENINO.png</t>
  </si>
  <si>
    <t>TRASGO FEMENINO</t>
  </si>
  <si>
    <t>1VBtEDGK2ySFAEDiWVB1RV4nOED_Wd8MW</t>
  </si>
  <si>
    <t>https://drive.google.com/file/d/1VBtEDGK2ySFAEDiWVB1RV4nOED_Wd8MW/view?usp=drivesdk</t>
  </si>
  <si>
    <t>https://drive.google.com/uc?export=view&amp;id=1VBtEDGK2ySFAEDiWVB1RV4nOED_Wd8MW</t>
  </si>
  <si>
    <t>Trasgo Hondero.png</t>
  </si>
  <si>
    <t>Trasgo Hondero</t>
  </si>
  <si>
    <t>1BOwrHhGnAvtfDCickEU800Tc1pzFcylo</t>
  </si>
  <si>
    <t>https://drive.google.com/file/d/1BOwrHhGnAvtfDCickEU800Tc1pzFcylo/view?usp=drivesdk</t>
  </si>
  <si>
    <t>https://drive.google.com/uc?export=view&amp;id=1BOwrHhGnAvtfDCickEU800Tc1pzFcylo</t>
  </si>
  <si>
    <t>TRASGO_MASCULINO.png</t>
  </si>
  <si>
    <t>TRASGO MASCULINO</t>
  </si>
  <si>
    <t>1J6uXzluAM-0R9lbtQmcnC8uNugF6EtTh</t>
  </si>
  <si>
    <t>https://drive.google.com/file/d/1J6uXzluAM-0R9lbtQmcnC8uNugF6EtTh/view?usp=drivesdk</t>
  </si>
  <si>
    <t>https://drive.google.com/uc?export=view&amp;id=1J6uXzluAM-0R9lbtQmcnC8uNugF6EtTh</t>
  </si>
  <si>
    <t>Trepador.png</t>
  </si>
  <si>
    <t>Trepador</t>
  </si>
  <si>
    <t>1ydiAYx5Jjz1JGWiInikgJHS7rAOsu9nI</t>
  </si>
  <si>
    <t>https://drive.google.com/file/d/1ydiAYx5Jjz1JGWiInikgJHS7rAOsu9nI/view?usp=drivesdk</t>
  </si>
  <si>
    <t>https://drive.google.com/uc?export=view&amp;id=1ydiAYx5Jjz1JGWiInikgJHS7rAOsu9nI</t>
  </si>
  <si>
    <t>Tridente.png</t>
  </si>
  <si>
    <t>Tridente</t>
  </si>
  <si>
    <t>1CLN7Gtwtxai8AJ2mftHeLqvFz96Haztd</t>
  </si>
  <si>
    <t>https://drive.google.com/file/d/1CLN7Gtwtxai8AJ2mftHeLqvFz96Haztd/view?usp=drivesdk</t>
  </si>
  <si>
    <t>https://drive.google.com/uc?export=view&amp;id=1CLN7Gtwtxai8AJ2mftHeLqvFz96Haztd</t>
  </si>
  <si>
    <t>Trigo.png</t>
  </si>
  <si>
    <t>Trigo</t>
  </si>
  <si>
    <t>1FrzCSDuIPg5mh7dT4Eb3k6FK1TyBDKMg</t>
  </si>
  <si>
    <t>https://drive.google.com/file/d/1FrzCSDuIPg5mh7dT4Eb3k6FK1TyBDKMg/view?usp=drivesdk</t>
  </si>
  <si>
    <t>https://drive.google.com/uc?export=view&amp;id=1FrzCSDuIPg5mh7dT4Eb3k6FK1TyBDKMg</t>
  </si>
  <si>
    <t>Trozo de Queso.png</t>
  </si>
  <si>
    <t>Trozo de Queso</t>
  </si>
  <si>
    <t>17_SSbyCdDVEKrdD-NDrXuL001XoHU1Db</t>
  </si>
  <si>
    <t>https://drive.google.com/file/d/17_SSbyCdDVEKrdD-NDrXuL001XoHU1Db/view?usp=drivesdk</t>
  </si>
  <si>
    <t>https://drive.google.com/uc?export=view&amp;id=17_SSbyCdDVEKrdD-NDrXuL001XoHU1Db</t>
  </si>
  <si>
    <t>Uvas.png</t>
  </si>
  <si>
    <t>Uvas</t>
  </si>
  <si>
    <t>1JItrs5wbEe62OvPElT6g5sCKKgFagbJp</t>
  </si>
  <si>
    <t>https://drive.google.com/file/d/1JItrs5wbEe62OvPElT6g5sCKKgFagbJp/view?usp=drivesdk</t>
  </si>
  <si>
    <t>https://drive.google.com/uc?export=view&amp;id=1JItrs5wbEe62OvPElT6g5sCKKgFagbJp</t>
  </si>
  <si>
    <t>Valiente.png</t>
  </si>
  <si>
    <t>Valiente</t>
  </si>
  <si>
    <t>144IgtItFM9w2zWdLmi-10vZXf3fVu7Lb</t>
  </si>
  <si>
    <t>https://drive.google.com/file/d/144IgtItFM9w2zWdLmi-10vZXf3fVu7Lb/view?usp=drivesdk</t>
  </si>
  <si>
    <t>https://drive.google.com/uc?export=view&amp;id=144IgtItFM9w2zWdLmi-10vZXf3fVu7Lb</t>
  </si>
  <si>
    <t>Valor de la manada.png</t>
  </si>
  <si>
    <t>Valor de la manada</t>
  </si>
  <si>
    <t>1_ZeTiiIyknD25iX1d3fEWxWPRnEovhoo</t>
  </si>
  <si>
    <t>https://drive.google.com/file/d/1_ZeTiiIyknD25iX1d3fEWxWPRnEovhoo/view?usp=drivesdk</t>
  </si>
  <si>
    <t>https://drive.google.com/uc?export=view&amp;id=1_ZeTiiIyknD25iX1d3fEWxWPRnEovhoo</t>
  </si>
  <si>
    <t>Vanguarda Praviano.png</t>
  </si>
  <si>
    <t>Vanguarda Praviano</t>
  </si>
  <si>
    <t>1cAvapjhOKhRLRaVu5K-euhS89z6q5KeB</t>
  </si>
  <si>
    <t>https://drive.google.com/file/d/1cAvapjhOKhRLRaVu5K-euhS89z6q5KeB/view?usp=drivesdk</t>
  </si>
  <si>
    <t>https://drive.google.com/uc?export=view&amp;id=1cAvapjhOKhRLRaVu5K-euhS89z6q5KeB</t>
  </si>
  <si>
    <t>Vara de metal.png</t>
  </si>
  <si>
    <t>Vara de metal</t>
  </si>
  <si>
    <t>175OmnED6Y0zMsGVLfLiRaxKj3e57iJBX</t>
  </si>
  <si>
    <t>https://drive.google.com/file/d/175OmnED6Y0zMsGVLfLiRaxKj3e57iJBX/view?usp=drivesdk</t>
  </si>
  <si>
    <t>https://drive.google.com/uc?export=view&amp;id=175OmnED6Y0zMsGVLfLiRaxKj3e57iJBX</t>
  </si>
  <si>
    <t>Vela de cordura.png</t>
  </si>
  <si>
    <t>Vela de cordura</t>
  </si>
  <si>
    <t>19G-cA1yRMXCM8H0aapc-z-dlEMaJieRd</t>
  </si>
  <si>
    <t>https://drive.google.com/file/d/19G-cA1yRMXCM8H0aapc-z-dlEMaJieRd/view?usp=drivesdk</t>
  </si>
  <si>
    <t>https://drive.google.com/uc?export=view&amp;id=19G-cA1yRMXCM8H0aapc-z-dlEMaJieRd</t>
  </si>
  <si>
    <t>Veneno.png</t>
  </si>
  <si>
    <t>Veneno</t>
  </si>
  <si>
    <t>1726GUvlnCKG_rbY1YilXpAVl0XMwsxT6</t>
  </si>
  <si>
    <t>https://drive.google.com/file/d/1726GUvlnCKG_rbY1YilXpAVl0XMwsxT6/view?usp=drivesdk</t>
  </si>
  <si>
    <t>https://drive.google.com/uc?export=view&amp;id=1726GUvlnCKG_rbY1YilXpAVl0XMwsxT6</t>
  </si>
  <si>
    <t>Versatilidad.png</t>
  </si>
  <si>
    <t>Versatilidad</t>
  </si>
  <si>
    <t>1obQfPuFOsMUYh4SrrzOw1ckDcb4aGVIY</t>
  </si>
  <si>
    <t>https://drive.google.com/file/d/1obQfPuFOsMUYh4SrrzOw1ckDcb4aGVIY/view?usp=drivesdk</t>
  </si>
  <si>
    <t>https://drive.google.com/uc?export=view&amp;id=1obQfPuFOsMUYh4SrrzOw1ckDcb4aGVIY</t>
  </si>
  <si>
    <t>Vhargus.png</t>
  </si>
  <si>
    <t>Vhargus</t>
  </si>
  <si>
    <t>1qNdLHHbA1_2hGzABLn8Bs0zZTiV-NEdG</t>
  </si>
  <si>
    <t>https://drive.google.com/file/d/1qNdLHHbA1_2hGzABLn8Bs0zZTiV-NEdG/view?usp=drivesdk</t>
  </si>
  <si>
    <t>https://drive.google.com/uc?export=view&amp;id=1qNdLHHbA1_2hGzABLn8Bs0zZTiV-NEdG</t>
  </si>
  <si>
    <t>Vhargus Montado.png</t>
  </si>
  <si>
    <t>Vhargus Montado</t>
  </si>
  <si>
    <t>1EhkOUIPcQFFL16lCtQLq_gWMEfbQj3UX</t>
  </si>
  <si>
    <t>https://drive.google.com/file/d/1EhkOUIPcQFFL16lCtQLq_gWMEfbQj3UX/view?usp=drivesdk</t>
  </si>
  <si>
    <t>https://drive.google.com/uc?export=view&amp;id=1EhkOUIPcQFFL16lCtQLq_gWMEfbQj3UX</t>
  </si>
  <si>
    <t>Viaje del Espíritu.png</t>
  </si>
  <si>
    <t>Viaje del Espíritu</t>
  </si>
  <si>
    <t>1ubRsMojiW5ZxeCLLWIDA73gs0jWW4_Aj</t>
  </si>
  <si>
    <t>https://drive.google.com/file/d/1ubRsMojiW5ZxeCLLWIDA73gs0jWW4_Aj/view?usp=drivesdk</t>
  </si>
  <si>
    <t>https://drive.google.com/uc?export=view&amp;id=1ubRsMojiW5ZxeCLLWIDA73gs0jWW4_Aj</t>
  </si>
  <si>
    <t>Viaje del Espíritu_bw.png</t>
  </si>
  <si>
    <t>Viaje del Espíritu bw</t>
  </si>
  <si>
    <t>1Uyh_lWfqbEV3llXxUVpzQiSvFoFk4blG</t>
  </si>
  <si>
    <t>https://drive.google.com/file/d/1Uyh_lWfqbEV3llXxUVpzQiSvFoFk4blG/view?usp=drivesdk</t>
  </si>
  <si>
    <t>https://drive.google.com/uc?export=view&amp;id=1Uyh_lWfqbEV3llXxUVpzQiSvFoFk4blG</t>
  </si>
  <si>
    <t>Vida.png</t>
  </si>
  <si>
    <t>Vida</t>
  </si>
  <si>
    <t>1xWXyuhtg88DX1V_kEkS3tnFXDbpWtIwy</t>
  </si>
  <si>
    <t>https://drive.google.com/file/d/1xWXyuhtg88DX1V_kEkS3tnFXDbpWtIwy/view?usp=drivesdk</t>
  </si>
  <si>
    <t>https://drive.google.com/uc?export=view&amp;id=1xWXyuhtg88DX1V_kEkS3tnFXDbpWtIwy</t>
  </si>
  <si>
    <t>Vinagre.png</t>
  </si>
  <si>
    <t>Vinagre</t>
  </si>
  <si>
    <t>1zunggWwmX_0SGfBh97m1st1Yb9YK4RFa</t>
  </si>
  <si>
    <t>https://drive.google.com/file/d/1zunggWwmX_0SGfBh97m1st1Yb9YK4RFa/view?usp=drivesdk</t>
  </si>
  <si>
    <t>https://drive.google.com/uc?export=view&amp;id=1zunggWwmX_0SGfBh97m1st1Yb9YK4RFa</t>
  </si>
  <si>
    <t>Vino Blanco.jpeg</t>
  </si>
  <si>
    <t>Vino Blanco</t>
  </si>
  <si>
    <t>1PTaEDA9ihKSqMqC8hGiioJIRtSyb4Jc6</t>
  </si>
  <si>
    <t>https://drive.google.com/file/d/1PTaEDA9ihKSqMqC8hGiioJIRtSyb4Jc6/view?usp=drivesdk</t>
  </si>
  <si>
    <t>https://drive.google.com/uc?export=view&amp;id=1PTaEDA9ihKSqMqC8hGiioJIRtSyb4Jc6</t>
  </si>
  <si>
    <t>Vino Blanco Añejado.png</t>
  </si>
  <si>
    <t>Vino Blanco Añejado</t>
  </si>
  <si>
    <t>1ihmr1-AzMIGTE3st1Ed2oNisH2tmx8vO</t>
  </si>
  <si>
    <t>https://drive.google.com/file/d/1ihmr1-AzMIGTE3st1Ed2oNisH2tmx8vO/view?usp=drivesdk</t>
  </si>
  <si>
    <t>https://drive.google.com/uc?export=view&amp;id=1ihmr1-AzMIGTE3st1Ed2oNisH2tmx8vO</t>
  </si>
  <si>
    <t>Vino Tinto.jpeg</t>
  </si>
  <si>
    <t>Vino Tinto</t>
  </si>
  <si>
    <t>1OWRJcJ4OP33fdYk5V1_fMDVto1gEZo-P</t>
  </si>
  <si>
    <t>https://drive.google.com/file/d/1OWRJcJ4OP33fdYk5V1_fMDVto1gEZo-P/view?usp=drivesdk</t>
  </si>
  <si>
    <t>https://drive.google.com/uc?export=view&amp;id=1OWRJcJ4OP33fdYk5V1_fMDVto1gEZo-P</t>
  </si>
  <si>
    <t>Vino Tinto Añejado.png</t>
  </si>
  <si>
    <t>Vino Tinto Añejado</t>
  </si>
  <si>
    <t>12fUTbnTJInlG-Gc3Hh5HYPzcH9MNGmRL</t>
  </si>
  <si>
    <t>https://drive.google.com/file/d/12fUTbnTJInlG-Gc3Hh5HYPzcH9MNGmRL/view?usp=drivesdk</t>
  </si>
  <si>
    <t>https://drive.google.com/uc?export=view&amp;id=12fUTbnTJInlG-Gc3Hh5HYPzcH9MNGmRL</t>
  </si>
  <si>
    <t>Violín.png</t>
  </si>
  <si>
    <t>Violín</t>
  </si>
  <si>
    <t>16uDvx_vwHEg8DCDH4dpMfAvWQ2hdzmsy</t>
  </si>
  <si>
    <t>https://drive.google.com/file/d/16uDvx_vwHEg8DCDH4dpMfAvWQ2hdzmsy/view?usp=drivesdk</t>
  </si>
  <si>
    <t>https://drive.google.com/uc?export=view&amp;id=16uDvx_vwHEg8DCDH4dpMfAvWQ2hdzmsy</t>
  </si>
  <si>
    <t>Visión nocturna.png</t>
  </si>
  <si>
    <t>Visión nocturna</t>
  </si>
  <si>
    <t>1s85VlQbZAgoNhYyVh92VbV7celNBiHL2</t>
  </si>
  <si>
    <t>https://drive.google.com/file/d/1s85VlQbZAgoNhYyVh92VbV7celNBiHL2/view?usp=drivesdk</t>
  </si>
  <si>
    <t>https://drive.google.com/uc?export=view&amp;id=1s85VlQbZAgoNhYyVh92VbV7celNBiHL2</t>
  </si>
  <si>
    <t>Visión Térmica (Drokkahim).png</t>
  </si>
  <si>
    <t>Visión Térmica (Drokkahim)</t>
  </si>
  <si>
    <t>1RKjXNPKdaEXdpwUDQpJMTe28-MwRT20c</t>
  </si>
  <si>
    <t>https://drive.google.com/file/d/1RKjXNPKdaEXdpwUDQpJMTe28-MwRT20c/view?usp=drivesdk</t>
  </si>
  <si>
    <t>https://drive.google.com/uc?export=view&amp;id=1RKjXNPKdaEXdpwUDQpJMTe28-MwRT20c</t>
  </si>
  <si>
    <t>Voces de los condenados.png</t>
  </si>
  <si>
    <t>Voces de los condenados</t>
  </si>
  <si>
    <t>1ZtFl7gMG8waERj7HwbCj-kPF6tk2fhUV</t>
  </si>
  <si>
    <t>https://drive.google.com/file/d/1ZtFl7gMG8waERj7HwbCj-kPF6tk2fhUV/view?usp=drivesdk</t>
  </si>
  <si>
    <t>https://drive.google.com/uc?export=view&amp;id=1ZtFl7gMG8waERj7HwbCj-kPF6tk2fhUV</t>
  </si>
  <si>
    <t>Voces de los condenados_bw.png</t>
  </si>
  <si>
    <t>Voces de los condenados bw</t>
  </si>
  <si>
    <t>16wcAzVx_8xtcTaGSxP0xZLNaiqakKYcM</t>
  </si>
  <si>
    <t>https://drive.google.com/file/d/16wcAzVx_8xtcTaGSxP0xZLNaiqakKYcM/view?usp=drivesdk</t>
  </si>
  <si>
    <t>https://drive.google.com/uc?export=view&amp;id=16wcAzVx_8xtcTaGSxP0xZLNaiqakKYcM</t>
  </si>
  <si>
    <t>Yelmo con alas.png</t>
  </si>
  <si>
    <t>Yelmo con alas</t>
  </si>
  <si>
    <t>1EElDtnUWdYZhSxwVhzJX-q42mTeYCkLq</t>
  </si>
  <si>
    <t>https://drive.google.com/file/d/1EElDtnUWdYZhSxwVhzJX-q42mTeYCkLq/view?usp=drivesdk</t>
  </si>
  <si>
    <t>https://drive.google.com/uc?export=view&amp;id=1EElDtnUWdYZhSxwVhzJX-q42mTeYCkLq</t>
  </si>
  <si>
    <t>Yelmo con visera.png</t>
  </si>
  <si>
    <t>Yelmo con visera</t>
  </si>
  <si>
    <t>1ZnVqHDsEJeV2Lgwqf4c4F7WS0ky8CZqn</t>
  </si>
  <si>
    <t>https://drive.google.com/file/d/1ZnVqHDsEJeV2Lgwqf4c4F7WS0ky8CZqn/view?usp=drivesdk</t>
  </si>
  <si>
    <t>https://drive.google.com/uc?export=view&amp;id=1ZnVqHDsEJeV2Lgwqf4c4F7WS0ky8CZqn</t>
  </si>
  <si>
    <t>Yelmo de cruzado.png</t>
  </si>
  <si>
    <t>Yelmo de cruzado</t>
  </si>
  <si>
    <t>1fxIeeplJZa8Rg4l_VNbdgbNP6Tur9I08</t>
  </si>
  <si>
    <t>https://drive.google.com/file/d/1fxIeeplJZa8Rg4l_VNbdgbNP6Tur9I08/view?usp=drivesdk</t>
  </si>
  <si>
    <t>https://drive.google.com/uc?export=view&amp;id=1fxIeeplJZa8Rg4l_VNbdgbNP6Tur9I08</t>
  </si>
  <si>
    <t>Yelmo nasal.png</t>
  </si>
  <si>
    <t>Yelmo nasal</t>
  </si>
  <si>
    <t>1Jz15dCWv7IApy-w0MZTiJWD6S8FUXBhI</t>
  </si>
  <si>
    <t>https://drive.google.com/file/d/1Jz15dCWv7IApy-w0MZTiJWD6S8FUXBhI/view?usp=drivesdk</t>
  </si>
  <si>
    <t>https://drive.google.com/uc?export=view&amp;id=1Jz15dCWv7IApy-w0MZTiJWD6S8FUXBhI</t>
  </si>
  <si>
    <t>Yelmo Nasal con Cota de Malla.png</t>
  </si>
  <si>
    <t>Yelmo Nasal con Cota de Malla</t>
  </si>
  <si>
    <t>1bTPCEp4JsFJf1sNjq0fkq_8592ETyS8-</t>
  </si>
  <si>
    <t>https://drive.google.com/file/d/1bTPCEp4JsFJf1sNjq0fkq_8592ETyS8-/view?usp=drivesdk</t>
  </si>
  <si>
    <t>https://drive.google.com/uc?export=view&amp;id=1bTPCEp4JsFJf1sNjq0fkq_8592ETyS8-</t>
  </si>
  <si>
    <t>Zanahoria.png</t>
  </si>
  <si>
    <t>Zanahoria</t>
  </si>
  <si>
    <t>1F2NH3U0Kw0WdzJOyKc03dwbAnqSt19YV</t>
  </si>
  <si>
    <t>https://drive.google.com/file/d/1F2NH3U0Kw0WdzJOyKc03dwbAnqSt19YV/view?usp=drivesdk</t>
  </si>
  <si>
    <t>https://drive.google.com/uc?export=view&amp;id=1F2NH3U0Kw0WdzJOyKc03dwbAnqSt19YV</t>
  </si>
  <si>
    <t>Carpeta Padre</t>
  </si>
  <si>
    <t>Carpeta</t>
  </si>
  <si>
    <t>ID Carpeta</t>
  </si>
  <si>
    <t>Fecha/Hora Proceso</t>
  </si>
  <si>
    <t>Archivos Cargados</t>
  </si>
  <si>
    <t>Duplicados Omitidos</t>
  </si>
  <si>
    <t>Estado</t>
  </si>
  <si>
    <t>--- RAÍZ ---</t>
  </si>
  <si>
    <t>img</t>
  </si>
  <si>
    <t>148pQxEMRfQp6BBC6qPc0nj0EWet9sKH8</t>
  </si>
  <si>
    <t>Completado</t>
  </si>
  <si>
    <t>Alternativas</t>
  </si>
  <si>
    <t>1KVQVyIUYGaq2PfTuqXCNdEnvjJTxHTZf</t>
  </si>
  <si>
    <t>Omitida (Filtro 'Alternativas')</t>
  </si>
  <si>
    <t>NPCs</t>
  </si>
  <si>
    <t>1XkG0_Ut8RZ6q6r5z4NgZLtG9QVz9Zfro</t>
  </si>
  <si>
    <t>Items</t>
  </si>
  <si>
    <t>1OymjX-dbjznIoB3Ismu8b-OMi203zEg9</t>
  </si>
  <si>
    <t>1mIH9_I2_UJiMKoUEPQM5g0NNnrTsOrZm</t>
  </si>
  <si>
    <t>Razas</t>
  </si>
  <si>
    <t>1G6r_HY6d_-ywt44nnQht6_wdcdtHPPV1</t>
  </si>
  <si>
    <t>1PiC4zxEh7VNIMeAXV01V2oXGHhyD50ql</t>
  </si>
  <si>
    <t>Clases</t>
  </si>
  <si>
    <t>1PWMF_2UK8swCT2XDB8HcLEtpn-f88uFy</t>
  </si>
  <si>
    <t>1kBze_dnn8IcfZTPjFURtp0RilMsVLnK9</t>
  </si>
  <si>
    <t>1ivNeP9ElvgrN3JQlSp4t40oJuzuDAghZ</t>
  </si>
  <si>
    <t>Tipo</t>
  </si>
  <si>
    <t>Mensaje</t>
  </si>
  <si>
    <t>Nombre de Imagen</t>
  </si>
  <si>
    <t>URL Raw (Texto)</t>
  </si>
  <si>
    <t>https://raw.githubusercontent.com/Wagl1697/arkanor-assets/main/Arma%20personal.png</t>
  </si>
  <si>
    <t>https://raw.githubusercontent.com/Wagl1697/arkanor-assets/main/Ataque%20adicional%20(Explorador).png</t>
  </si>
  <si>
    <t>https://raw.githubusercontent.com/Wagl1697/arkanor-assets/main/Cazador%20especializado.png</t>
  </si>
  <si>
    <t>https://raw.githubusercontent.com/Wagl1697/arkanor-assets/main/Caída%20lenta.png</t>
  </si>
  <si>
    <t>https://raw.githubusercontent.com/Wagl1697/arkanor-assets/main/Combate%20desarmado.png</t>
  </si>
  <si>
    <t>https://raw.githubusercontent.com/Wagl1697/arkanor-assets/main/Defensa%20sin%20armadura.png</t>
  </si>
  <si>
    <t>README.md</t>
  </si>
  <si>
    <t>https://raw.githubusercontent.com/Wagl1697/arkanor-assets/main/README.md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</si>
</sst>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yyyy-MM-dd 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trike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1" numFmtId="14" xfId="0" applyAlignment="1" applyFont="1" applyNumberFormat="1">
      <alignment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uc?export=view&amp;id=1l0epeaSIWMbNz_b4cvDMMHqbwPHqpnlK" TargetMode="External"/><Relationship Id="rId391" Type="http://schemas.openxmlformats.org/officeDocument/2006/relationships/hyperlink" Target="https://drive.google.com/file/d/1l0epeaSIWMbNz_b4cvDMMHqbwPHqpnlK/view?usp=drivesdk" TargetMode="External"/><Relationship Id="rId390" Type="http://schemas.openxmlformats.org/officeDocument/2006/relationships/hyperlink" Target="https://drive.google.com/uc?export=view&amp;id=1Fw5nwkuaDgYOF4zwdSXTtbHj6FajA7MN" TargetMode="External"/><Relationship Id="rId1" Type="http://schemas.openxmlformats.org/officeDocument/2006/relationships/hyperlink" Target="https://drive.google.com/file/d/1bOdcFIb0pVyjQUL-BNzGJHRkC-HouPgn/view?usp=drivesdk" TargetMode="External"/><Relationship Id="rId2" Type="http://schemas.openxmlformats.org/officeDocument/2006/relationships/hyperlink" Target="https://drive.google.com/uc?export=view&amp;id=1bOdcFIb0pVyjQUL-BNzGJHRkC-HouPgn" TargetMode="External"/><Relationship Id="rId3" Type="http://schemas.openxmlformats.org/officeDocument/2006/relationships/hyperlink" Target="https://drive.google.com/file/d/1xhPrB-9-VSuyAFngRzrur68XeML3sSpn/view?usp=drivesdk" TargetMode="External"/><Relationship Id="rId4" Type="http://schemas.openxmlformats.org/officeDocument/2006/relationships/hyperlink" Target="https://drive.google.com/uc?export=view&amp;id=1xhPrB-9-VSuyAFngRzrur68XeML3sSpn" TargetMode="External"/><Relationship Id="rId9" Type="http://schemas.openxmlformats.org/officeDocument/2006/relationships/hyperlink" Target="https://drive.google.com/file/d/1e71cvkL4Ok1TMuyPJMKlwVJkuXGSll5f/view?usp=drivesdk" TargetMode="External"/><Relationship Id="rId385" Type="http://schemas.openxmlformats.org/officeDocument/2006/relationships/hyperlink" Target="https://drive.google.com/file/d/1HT_DQ2AY2qDbs8SHox2R5j0pjPALOVvL/view?usp=drivesdk" TargetMode="External"/><Relationship Id="rId384" Type="http://schemas.openxmlformats.org/officeDocument/2006/relationships/hyperlink" Target="https://drive.google.com/uc?export=view&amp;id=1dPpsNA-e03Roz4FyS7WOVlvZgcvuX7e2" TargetMode="External"/><Relationship Id="rId383" Type="http://schemas.openxmlformats.org/officeDocument/2006/relationships/hyperlink" Target="https://drive.google.com/file/d/1dPpsNA-e03Roz4FyS7WOVlvZgcvuX7e2/view?usp=drivesdk" TargetMode="External"/><Relationship Id="rId382" Type="http://schemas.openxmlformats.org/officeDocument/2006/relationships/hyperlink" Target="https://drive.google.com/uc?export=view&amp;id=19Ye_cM7wLKhfg35mEgs3A8MohoraP2Sc" TargetMode="External"/><Relationship Id="rId5" Type="http://schemas.openxmlformats.org/officeDocument/2006/relationships/hyperlink" Target="https://drive.google.com/file/d/13JnQjJ7FS02czMeME3qFSUQpHh1C6fZ2/view?usp=drivesdk" TargetMode="External"/><Relationship Id="rId389" Type="http://schemas.openxmlformats.org/officeDocument/2006/relationships/hyperlink" Target="https://drive.google.com/file/d/1Fw5nwkuaDgYOF4zwdSXTtbHj6FajA7MN/view?usp=drivesdk" TargetMode="External"/><Relationship Id="rId6" Type="http://schemas.openxmlformats.org/officeDocument/2006/relationships/hyperlink" Target="https://drive.google.com/uc?export=view&amp;id=13JnQjJ7FS02czMeME3qFSUQpHh1C6fZ2" TargetMode="External"/><Relationship Id="rId388" Type="http://schemas.openxmlformats.org/officeDocument/2006/relationships/hyperlink" Target="https://drive.google.com/uc?export=view&amp;id=1qHWI4Yk9ucWakZLarwXdhKL0-vJwKHP6" TargetMode="External"/><Relationship Id="rId7" Type="http://schemas.openxmlformats.org/officeDocument/2006/relationships/hyperlink" Target="https://drive.google.com/file/d/19OjiGazXeIB8XMlGrhyTeEsuSw_gbuBm/view?usp=drivesdk" TargetMode="External"/><Relationship Id="rId387" Type="http://schemas.openxmlformats.org/officeDocument/2006/relationships/hyperlink" Target="https://drive.google.com/file/d/1qHWI4Yk9ucWakZLarwXdhKL0-vJwKHP6/view?usp=drivesdk" TargetMode="External"/><Relationship Id="rId8" Type="http://schemas.openxmlformats.org/officeDocument/2006/relationships/hyperlink" Target="https://drive.google.com/uc?export=view&amp;id=19OjiGazXeIB8XMlGrhyTeEsuSw_gbuBm" TargetMode="External"/><Relationship Id="rId386" Type="http://schemas.openxmlformats.org/officeDocument/2006/relationships/hyperlink" Target="https://drive.google.com/uc?export=view&amp;id=1HT_DQ2AY2qDbs8SHox2R5j0pjPALOVvL" TargetMode="External"/><Relationship Id="rId381" Type="http://schemas.openxmlformats.org/officeDocument/2006/relationships/hyperlink" Target="https://drive.google.com/file/d/19Ye_cM7wLKhfg35mEgs3A8MohoraP2Sc/view?usp=drivesdk" TargetMode="External"/><Relationship Id="rId380" Type="http://schemas.openxmlformats.org/officeDocument/2006/relationships/hyperlink" Target="https://drive.google.com/uc?export=view&amp;id=1KC1Bpw6QgjkjxsEnHCYq4s0DeIcXgSes" TargetMode="External"/><Relationship Id="rId379" Type="http://schemas.openxmlformats.org/officeDocument/2006/relationships/hyperlink" Target="https://drive.google.com/file/d/1KC1Bpw6QgjkjxsEnHCYq4s0DeIcXgSes/view?usp=drivesdk" TargetMode="External"/><Relationship Id="rId374" Type="http://schemas.openxmlformats.org/officeDocument/2006/relationships/hyperlink" Target="https://drive.google.com/uc?export=view&amp;id=1tAcctdcdUiovI0r3W_34qj3x-dvmCN7d" TargetMode="External"/><Relationship Id="rId373" Type="http://schemas.openxmlformats.org/officeDocument/2006/relationships/hyperlink" Target="https://drive.google.com/file/d/1tAcctdcdUiovI0r3W_34qj3x-dvmCN7d/view?usp=drivesdk" TargetMode="External"/><Relationship Id="rId372" Type="http://schemas.openxmlformats.org/officeDocument/2006/relationships/hyperlink" Target="https://drive.google.com/uc?export=view&amp;id=1BkLNmpnk7EU7owlnqs1GY-hIGTlyaEJ1" TargetMode="External"/><Relationship Id="rId371" Type="http://schemas.openxmlformats.org/officeDocument/2006/relationships/hyperlink" Target="https://drive.google.com/file/d/1BkLNmpnk7EU7owlnqs1GY-hIGTlyaEJ1/view?usp=drivesdk" TargetMode="External"/><Relationship Id="rId378" Type="http://schemas.openxmlformats.org/officeDocument/2006/relationships/hyperlink" Target="https://drive.google.com/uc?export=view&amp;id=1BF6bUvTDA89QSAHeWZE8Zlud8DRdFrSw" TargetMode="External"/><Relationship Id="rId377" Type="http://schemas.openxmlformats.org/officeDocument/2006/relationships/hyperlink" Target="https://drive.google.com/file/d/1BF6bUvTDA89QSAHeWZE8Zlud8DRdFrSw/view?usp=drivesdk" TargetMode="External"/><Relationship Id="rId376" Type="http://schemas.openxmlformats.org/officeDocument/2006/relationships/hyperlink" Target="https://drive.google.com/uc?export=view&amp;id=1Qf11M_7TDVPamy6Z9WJ7xG96no1l0o2o" TargetMode="External"/><Relationship Id="rId375" Type="http://schemas.openxmlformats.org/officeDocument/2006/relationships/hyperlink" Target="https://drive.google.com/file/d/1Qf11M_7TDVPamy6Z9WJ7xG96no1l0o2o/view?usp=drivesdk" TargetMode="External"/><Relationship Id="rId396" Type="http://schemas.openxmlformats.org/officeDocument/2006/relationships/hyperlink" Target="https://drive.google.com/uc?export=view&amp;id=19XPbEP0mnG1BmOCdBdmETuz2gOtYw8Kb" TargetMode="External"/><Relationship Id="rId395" Type="http://schemas.openxmlformats.org/officeDocument/2006/relationships/hyperlink" Target="https://drive.google.com/file/d/19XPbEP0mnG1BmOCdBdmETuz2gOtYw8Kb/view?usp=drivesdk" TargetMode="External"/><Relationship Id="rId394" Type="http://schemas.openxmlformats.org/officeDocument/2006/relationships/hyperlink" Target="https://drive.google.com/uc?export=view&amp;id=1McxBba3FEeX_c4-4qmoTdegBF4YIGZy1" TargetMode="External"/><Relationship Id="rId393" Type="http://schemas.openxmlformats.org/officeDocument/2006/relationships/hyperlink" Target="https://drive.google.com/file/d/1McxBba3FEeX_c4-4qmoTdegBF4YIGZy1/view?usp=drivesdk" TargetMode="External"/><Relationship Id="rId399" Type="http://schemas.openxmlformats.org/officeDocument/2006/relationships/hyperlink" Target="https://drive.google.com/file/d/1mUR6-lSBNUK5k3h-ET_HbE5iYyVJ0wXp/view?usp=drivesdk" TargetMode="External"/><Relationship Id="rId398" Type="http://schemas.openxmlformats.org/officeDocument/2006/relationships/hyperlink" Target="https://drive.google.com/uc?export=view&amp;id=1bN1aZ_rURJtsu9zrQlmk8zf0D12P2gIE" TargetMode="External"/><Relationship Id="rId397" Type="http://schemas.openxmlformats.org/officeDocument/2006/relationships/hyperlink" Target="https://drive.google.com/file/d/1bN1aZ_rURJtsu9zrQlmk8zf0D12P2gIE/view?usp=drivesdk" TargetMode="External"/><Relationship Id="rId1720" Type="http://schemas.openxmlformats.org/officeDocument/2006/relationships/hyperlink" Target="https://drive.google.com/uc?export=view&amp;id=1ZnVqHDsEJeV2Lgwqf4c4F7WS0ky8CZqn" TargetMode="External"/><Relationship Id="rId1721" Type="http://schemas.openxmlformats.org/officeDocument/2006/relationships/hyperlink" Target="https://drive.google.com/file/d/1fxIeeplJZa8Rg4l_VNbdgbNP6Tur9I08/view?usp=drivesdk" TargetMode="External"/><Relationship Id="rId1722" Type="http://schemas.openxmlformats.org/officeDocument/2006/relationships/hyperlink" Target="https://drive.google.com/uc?export=view&amp;id=1fxIeeplJZa8Rg4l_VNbdgbNP6Tur9I08" TargetMode="External"/><Relationship Id="rId1723" Type="http://schemas.openxmlformats.org/officeDocument/2006/relationships/hyperlink" Target="https://drive.google.com/file/d/1Jz15dCWv7IApy-w0MZTiJWD6S8FUXBhI/view?usp=drivesdk" TargetMode="External"/><Relationship Id="rId1724" Type="http://schemas.openxmlformats.org/officeDocument/2006/relationships/hyperlink" Target="https://drive.google.com/uc?export=view&amp;id=1Jz15dCWv7IApy-w0MZTiJWD6S8FUXBhI" TargetMode="External"/><Relationship Id="rId1725" Type="http://schemas.openxmlformats.org/officeDocument/2006/relationships/hyperlink" Target="https://drive.google.com/file/d/1bTPCEp4JsFJf1sNjq0fkq_8592ETyS8-/view?usp=drivesdk" TargetMode="External"/><Relationship Id="rId1726" Type="http://schemas.openxmlformats.org/officeDocument/2006/relationships/hyperlink" Target="https://drive.google.com/uc?export=view&amp;id=1bTPCEp4JsFJf1sNjq0fkq_8592ETyS8-" TargetMode="External"/><Relationship Id="rId1727" Type="http://schemas.openxmlformats.org/officeDocument/2006/relationships/hyperlink" Target="https://drive.google.com/file/d/1F2NH3U0Kw0WdzJOyKc03dwbAnqSt19YV/view?usp=drivesdk" TargetMode="External"/><Relationship Id="rId1728" Type="http://schemas.openxmlformats.org/officeDocument/2006/relationships/hyperlink" Target="https://drive.google.com/uc?export=view&amp;id=1F2NH3U0Kw0WdzJOyKc03dwbAnqSt19YV" TargetMode="External"/><Relationship Id="rId1729" Type="http://schemas.openxmlformats.org/officeDocument/2006/relationships/drawing" Target="../drawings/drawing1.xml"/><Relationship Id="rId808" Type="http://schemas.openxmlformats.org/officeDocument/2006/relationships/hyperlink" Target="https://drive.google.com/uc?export=view&amp;id=1PTlar7W58IxjNBn96FsP6vGMJnzXidjN" TargetMode="External"/><Relationship Id="rId807" Type="http://schemas.openxmlformats.org/officeDocument/2006/relationships/hyperlink" Target="https://drive.google.com/file/d/1PTlar7W58IxjNBn96FsP6vGMJnzXidjN/view?usp=drivesdk" TargetMode="External"/><Relationship Id="rId806" Type="http://schemas.openxmlformats.org/officeDocument/2006/relationships/hyperlink" Target="https://drive.google.com/uc?export=view&amp;id=1psXUDDlePAlAtrslHFSwAvSO5RdL-9AV" TargetMode="External"/><Relationship Id="rId805" Type="http://schemas.openxmlformats.org/officeDocument/2006/relationships/hyperlink" Target="https://drive.google.com/file/d/1psXUDDlePAlAtrslHFSwAvSO5RdL-9AV/view?usp=drivesdk" TargetMode="External"/><Relationship Id="rId809" Type="http://schemas.openxmlformats.org/officeDocument/2006/relationships/hyperlink" Target="https://drive.google.com/file/d/1y2_sfyHrAk8LZsVmhUAqgMPoYM20k8N2/view?usp=drivesdk" TargetMode="External"/><Relationship Id="rId800" Type="http://schemas.openxmlformats.org/officeDocument/2006/relationships/hyperlink" Target="https://drive.google.com/uc?export=view&amp;id=1bJVzl-oNbGrzdcZPP0XsVKXq_IWoaPHv" TargetMode="External"/><Relationship Id="rId804" Type="http://schemas.openxmlformats.org/officeDocument/2006/relationships/hyperlink" Target="https://drive.google.com/uc?export=view&amp;id=1RLCpNAiVWLdmjmjQcyWC3Q63U4k5pTIg" TargetMode="External"/><Relationship Id="rId803" Type="http://schemas.openxmlformats.org/officeDocument/2006/relationships/hyperlink" Target="https://drive.google.com/file/d/1RLCpNAiVWLdmjmjQcyWC3Q63U4k5pTIg/view?usp=drivesdk" TargetMode="External"/><Relationship Id="rId802" Type="http://schemas.openxmlformats.org/officeDocument/2006/relationships/hyperlink" Target="https://drive.google.com/uc?export=view&amp;id=1g4nbToTIxSI8JyFSbkueoccioQHYeyeN" TargetMode="External"/><Relationship Id="rId801" Type="http://schemas.openxmlformats.org/officeDocument/2006/relationships/hyperlink" Target="https://drive.google.com/file/d/1g4nbToTIxSI8JyFSbkueoccioQHYeyeN/view?usp=drivesdk" TargetMode="External"/><Relationship Id="rId1710" Type="http://schemas.openxmlformats.org/officeDocument/2006/relationships/hyperlink" Target="https://drive.google.com/uc?export=view&amp;id=1s85VlQbZAgoNhYyVh92VbV7celNBiHL2" TargetMode="External"/><Relationship Id="rId1711" Type="http://schemas.openxmlformats.org/officeDocument/2006/relationships/hyperlink" Target="https://drive.google.com/file/d/1RKjXNPKdaEXdpwUDQpJMTe28-MwRT20c/view?usp=drivesdk" TargetMode="External"/><Relationship Id="rId1712" Type="http://schemas.openxmlformats.org/officeDocument/2006/relationships/hyperlink" Target="https://drive.google.com/uc?export=view&amp;id=1RKjXNPKdaEXdpwUDQpJMTe28-MwRT20c" TargetMode="External"/><Relationship Id="rId1713" Type="http://schemas.openxmlformats.org/officeDocument/2006/relationships/hyperlink" Target="https://drive.google.com/file/d/1ZtFl7gMG8waERj7HwbCj-kPF6tk2fhUV/view?usp=drivesdk" TargetMode="External"/><Relationship Id="rId1714" Type="http://schemas.openxmlformats.org/officeDocument/2006/relationships/hyperlink" Target="https://drive.google.com/uc?export=view&amp;id=1ZtFl7gMG8waERj7HwbCj-kPF6tk2fhUV" TargetMode="External"/><Relationship Id="rId1715" Type="http://schemas.openxmlformats.org/officeDocument/2006/relationships/hyperlink" Target="https://drive.google.com/file/d/16wcAzVx_8xtcTaGSxP0xZLNaiqakKYcM/view?usp=drivesdk" TargetMode="External"/><Relationship Id="rId1716" Type="http://schemas.openxmlformats.org/officeDocument/2006/relationships/hyperlink" Target="https://drive.google.com/uc?export=view&amp;id=16wcAzVx_8xtcTaGSxP0xZLNaiqakKYcM" TargetMode="External"/><Relationship Id="rId1717" Type="http://schemas.openxmlformats.org/officeDocument/2006/relationships/hyperlink" Target="https://drive.google.com/file/d/1EElDtnUWdYZhSxwVhzJX-q42mTeYCkLq/view?usp=drivesdk" TargetMode="External"/><Relationship Id="rId1718" Type="http://schemas.openxmlformats.org/officeDocument/2006/relationships/hyperlink" Target="https://drive.google.com/uc?export=view&amp;id=1EElDtnUWdYZhSxwVhzJX-q42mTeYCkLq" TargetMode="External"/><Relationship Id="rId1719" Type="http://schemas.openxmlformats.org/officeDocument/2006/relationships/hyperlink" Target="https://drive.google.com/file/d/1ZnVqHDsEJeV2Lgwqf4c4F7WS0ky8CZqn/view?usp=drivesdk" TargetMode="External"/><Relationship Id="rId1700" Type="http://schemas.openxmlformats.org/officeDocument/2006/relationships/hyperlink" Target="https://drive.google.com/uc?export=view&amp;id=1PTaEDA9ihKSqMqC8hGiioJIRtSyb4Jc6" TargetMode="External"/><Relationship Id="rId1701" Type="http://schemas.openxmlformats.org/officeDocument/2006/relationships/hyperlink" Target="https://drive.google.com/file/d/1ihmr1-AzMIGTE3st1Ed2oNisH2tmx8vO/view?usp=drivesdk" TargetMode="External"/><Relationship Id="rId1702" Type="http://schemas.openxmlformats.org/officeDocument/2006/relationships/hyperlink" Target="https://drive.google.com/uc?export=view&amp;id=1ihmr1-AzMIGTE3st1Ed2oNisH2tmx8vO" TargetMode="External"/><Relationship Id="rId1703" Type="http://schemas.openxmlformats.org/officeDocument/2006/relationships/hyperlink" Target="https://drive.google.com/file/d/1OWRJcJ4OP33fdYk5V1_fMDVto1gEZo-P/view?usp=drivesdk" TargetMode="External"/><Relationship Id="rId1704" Type="http://schemas.openxmlformats.org/officeDocument/2006/relationships/hyperlink" Target="https://drive.google.com/uc?export=view&amp;id=1OWRJcJ4OP33fdYk5V1_fMDVto1gEZo-P" TargetMode="External"/><Relationship Id="rId1705" Type="http://schemas.openxmlformats.org/officeDocument/2006/relationships/hyperlink" Target="https://drive.google.com/file/d/12fUTbnTJInlG-Gc3Hh5HYPzcH9MNGmRL/view?usp=drivesdk" TargetMode="External"/><Relationship Id="rId1706" Type="http://schemas.openxmlformats.org/officeDocument/2006/relationships/hyperlink" Target="https://drive.google.com/uc?export=view&amp;id=12fUTbnTJInlG-Gc3Hh5HYPzcH9MNGmRL" TargetMode="External"/><Relationship Id="rId1707" Type="http://schemas.openxmlformats.org/officeDocument/2006/relationships/hyperlink" Target="https://drive.google.com/file/d/16uDvx_vwHEg8DCDH4dpMfAvWQ2hdzmsy/view?usp=drivesdk" TargetMode="External"/><Relationship Id="rId1708" Type="http://schemas.openxmlformats.org/officeDocument/2006/relationships/hyperlink" Target="https://drive.google.com/uc?export=view&amp;id=16uDvx_vwHEg8DCDH4dpMfAvWQ2hdzmsy" TargetMode="External"/><Relationship Id="rId1709" Type="http://schemas.openxmlformats.org/officeDocument/2006/relationships/hyperlink" Target="https://drive.google.com/file/d/1s85VlQbZAgoNhYyVh92VbV7celNBiHL2/view?usp=drivesdk" TargetMode="External"/><Relationship Id="rId40" Type="http://schemas.openxmlformats.org/officeDocument/2006/relationships/hyperlink" Target="https://drive.google.com/uc?export=view&amp;id=1q1FRZ8xbNXH7beXroq91CneyR0bcvcp0" TargetMode="External"/><Relationship Id="rId1334" Type="http://schemas.openxmlformats.org/officeDocument/2006/relationships/hyperlink" Target="https://drive.google.com/uc?export=view&amp;id=1UXUudOnxbsfKoEtVBoqMLnEOJIbgNZBe" TargetMode="External"/><Relationship Id="rId1335" Type="http://schemas.openxmlformats.org/officeDocument/2006/relationships/hyperlink" Target="https://drive.google.com/file/d/1rrefCkqbQOorcXMX2IVTfSw_SEDGchnW/view?usp=drivesdk" TargetMode="External"/><Relationship Id="rId42" Type="http://schemas.openxmlformats.org/officeDocument/2006/relationships/hyperlink" Target="https://drive.google.com/uc?export=view&amp;id=1DYcfNl_Ff8S-XztEF_NtqOoL48yD2dI-" TargetMode="External"/><Relationship Id="rId1336" Type="http://schemas.openxmlformats.org/officeDocument/2006/relationships/hyperlink" Target="https://drive.google.com/uc?export=view&amp;id=1rrefCkqbQOorcXMX2IVTfSw_SEDGchnW" TargetMode="External"/><Relationship Id="rId41" Type="http://schemas.openxmlformats.org/officeDocument/2006/relationships/hyperlink" Target="https://drive.google.com/file/d/1DYcfNl_Ff8S-XztEF_NtqOoL48yD2dI-/view?usp=drivesdk" TargetMode="External"/><Relationship Id="rId1337" Type="http://schemas.openxmlformats.org/officeDocument/2006/relationships/hyperlink" Target="https://drive.google.com/file/d/1sPyfcCeAHhr1CaHD4a0abt79vHFdpjU2/view?usp=drivesdk" TargetMode="External"/><Relationship Id="rId44" Type="http://schemas.openxmlformats.org/officeDocument/2006/relationships/hyperlink" Target="https://drive.google.com/uc?export=view&amp;id=1K0AT1A83DAUHuH02sV0RkUxjMZn5wLbK" TargetMode="External"/><Relationship Id="rId1338" Type="http://schemas.openxmlformats.org/officeDocument/2006/relationships/hyperlink" Target="https://drive.google.com/uc?export=view&amp;id=1sPyfcCeAHhr1CaHD4a0abt79vHFdpjU2" TargetMode="External"/><Relationship Id="rId43" Type="http://schemas.openxmlformats.org/officeDocument/2006/relationships/hyperlink" Target="https://drive.google.com/file/d/1K0AT1A83DAUHuH02sV0RkUxjMZn5wLbK/view?usp=drivesdk" TargetMode="External"/><Relationship Id="rId1339" Type="http://schemas.openxmlformats.org/officeDocument/2006/relationships/hyperlink" Target="https://drive.google.com/file/d/11r5Cn_iC1VD1gpkuAaro-j0TiR-1ATKp/view?usp=drivesdk" TargetMode="External"/><Relationship Id="rId46" Type="http://schemas.openxmlformats.org/officeDocument/2006/relationships/hyperlink" Target="https://drive.google.com/uc?export=view&amp;id=1e_Key0ndoPhsglgu8mZoCNFlzc48ULz-" TargetMode="External"/><Relationship Id="rId45" Type="http://schemas.openxmlformats.org/officeDocument/2006/relationships/hyperlink" Target="https://drive.google.com/file/d/1e_Key0ndoPhsglgu8mZoCNFlzc48ULz-/view?usp=drivesdk" TargetMode="External"/><Relationship Id="rId745" Type="http://schemas.openxmlformats.org/officeDocument/2006/relationships/hyperlink" Target="https://drive.google.com/file/d/17oR-z5t6gv35-DXYdCYVFfD4cBWL7DN7/view?usp=drivesdk" TargetMode="External"/><Relationship Id="rId744" Type="http://schemas.openxmlformats.org/officeDocument/2006/relationships/hyperlink" Target="https://drive.google.com/uc?export=view&amp;id=1mHu69AaJxK7d5_m5wv5jwkWfXC22OP0o" TargetMode="External"/><Relationship Id="rId743" Type="http://schemas.openxmlformats.org/officeDocument/2006/relationships/hyperlink" Target="https://drive.google.com/file/d/1mHu69AaJxK7d5_m5wv5jwkWfXC22OP0o/view?usp=drivesdk" TargetMode="External"/><Relationship Id="rId742" Type="http://schemas.openxmlformats.org/officeDocument/2006/relationships/hyperlink" Target="https://drive.google.com/uc?export=view&amp;id=1IlDOu14sKe-sD0Bmo-d9ZpIy738r8KVJ" TargetMode="External"/><Relationship Id="rId749" Type="http://schemas.openxmlformats.org/officeDocument/2006/relationships/hyperlink" Target="https://drive.google.com/file/d/1ykl1jxvcC5txHklfmaNQ6iClkdCGcLXk/view?usp=drivesdk" TargetMode="External"/><Relationship Id="rId748" Type="http://schemas.openxmlformats.org/officeDocument/2006/relationships/hyperlink" Target="https://drive.google.com/uc?export=view&amp;id=1AuYNquM4Ot-5MUxtLe1y5F422Fpy24ZC" TargetMode="External"/><Relationship Id="rId747" Type="http://schemas.openxmlformats.org/officeDocument/2006/relationships/hyperlink" Target="https://drive.google.com/file/d/1AuYNquM4Ot-5MUxtLe1y5F422Fpy24ZC/view?usp=drivesdk" TargetMode="External"/><Relationship Id="rId746" Type="http://schemas.openxmlformats.org/officeDocument/2006/relationships/hyperlink" Target="https://drive.google.com/uc?export=view&amp;id=17oR-z5t6gv35-DXYdCYVFfD4cBWL7DN7" TargetMode="External"/><Relationship Id="rId48" Type="http://schemas.openxmlformats.org/officeDocument/2006/relationships/hyperlink" Target="https://drive.google.com/uc?export=view&amp;id=1fm2CxjXqMBPl57S3gKyFjIUuzZF0Svbx" TargetMode="External"/><Relationship Id="rId47" Type="http://schemas.openxmlformats.org/officeDocument/2006/relationships/hyperlink" Target="https://drive.google.com/file/d/1fm2CxjXqMBPl57S3gKyFjIUuzZF0Svbx/view?usp=drivesdk" TargetMode="External"/><Relationship Id="rId49" Type="http://schemas.openxmlformats.org/officeDocument/2006/relationships/hyperlink" Target="https://drive.google.com/file/d/1KL1ItwsD1rOoWhoDomJC3ghWizwDNfPJ/view?usp=drivesdk" TargetMode="External"/><Relationship Id="rId741" Type="http://schemas.openxmlformats.org/officeDocument/2006/relationships/hyperlink" Target="https://drive.google.com/file/d/1IlDOu14sKe-sD0Bmo-d9ZpIy738r8KVJ/view?usp=drivesdk" TargetMode="External"/><Relationship Id="rId1330" Type="http://schemas.openxmlformats.org/officeDocument/2006/relationships/hyperlink" Target="https://drive.google.com/uc?export=view&amp;id=1YWniU5XyTTN0bNwapZpVf3b2BGtyKyTD" TargetMode="External"/><Relationship Id="rId740" Type="http://schemas.openxmlformats.org/officeDocument/2006/relationships/hyperlink" Target="https://drive.google.com/uc?export=view&amp;id=1Cv_NGpDd33ZfaVk2gWOJ1j9U4Ne8F0-W" TargetMode="External"/><Relationship Id="rId1331" Type="http://schemas.openxmlformats.org/officeDocument/2006/relationships/hyperlink" Target="https://drive.google.com/file/d/1Vnwkn4Bk0rweR1uKN84Wvz-S9SmRzO33/view?usp=drivesdk" TargetMode="External"/><Relationship Id="rId1332" Type="http://schemas.openxmlformats.org/officeDocument/2006/relationships/hyperlink" Target="https://drive.google.com/uc?export=view&amp;id=1Vnwkn4Bk0rweR1uKN84Wvz-S9SmRzO33" TargetMode="External"/><Relationship Id="rId1333" Type="http://schemas.openxmlformats.org/officeDocument/2006/relationships/hyperlink" Target="https://drive.google.com/file/d/1UXUudOnxbsfKoEtVBoqMLnEOJIbgNZBe/view?usp=drivesdk" TargetMode="External"/><Relationship Id="rId1323" Type="http://schemas.openxmlformats.org/officeDocument/2006/relationships/hyperlink" Target="https://drive.google.com/file/d/1QIGEfEWK7Znv4sxc4KD6-LgvIlk9Le01/view?usp=drivesdk" TargetMode="External"/><Relationship Id="rId1324" Type="http://schemas.openxmlformats.org/officeDocument/2006/relationships/hyperlink" Target="https://drive.google.com/uc?export=view&amp;id=1QIGEfEWK7Znv4sxc4KD6-LgvIlk9Le01" TargetMode="External"/><Relationship Id="rId31" Type="http://schemas.openxmlformats.org/officeDocument/2006/relationships/hyperlink" Target="https://drive.google.com/file/d/1uE7k4OC715M-y0etY-ZJ3z7b62LlOXbh/view?usp=drivesdk" TargetMode="External"/><Relationship Id="rId1325" Type="http://schemas.openxmlformats.org/officeDocument/2006/relationships/hyperlink" Target="https://drive.google.com/file/d/11e8Y3Ex4SxQVOyfiAUeo1ZISfweKJcvd/view?usp=drivesdk" TargetMode="External"/><Relationship Id="rId30" Type="http://schemas.openxmlformats.org/officeDocument/2006/relationships/hyperlink" Target="https://drive.google.com/uc?export=view&amp;id=1VJVa_HN5D4QLi9agcyVmGpSNwkPTyQpL" TargetMode="External"/><Relationship Id="rId1326" Type="http://schemas.openxmlformats.org/officeDocument/2006/relationships/hyperlink" Target="https://drive.google.com/uc?export=view&amp;id=11e8Y3Ex4SxQVOyfiAUeo1ZISfweKJcvd" TargetMode="External"/><Relationship Id="rId33" Type="http://schemas.openxmlformats.org/officeDocument/2006/relationships/hyperlink" Target="https://drive.google.com/file/d/1wGB7S1NA9EWp4vG8Rhecp9JibImHTFo4/view?usp=drivesdk" TargetMode="External"/><Relationship Id="rId1327" Type="http://schemas.openxmlformats.org/officeDocument/2006/relationships/hyperlink" Target="https://drive.google.com/file/d/1Q3IVZaxV-XBrwaPX7qfi_U4uvNvLnBFq/view?usp=drivesdk" TargetMode="External"/><Relationship Id="rId32" Type="http://schemas.openxmlformats.org/officeDocument/2006/relationships/hyperlink" Target="https://drive.google.com/uc?export=view&amp;id=1uE7k4OC715M-y0etY-ZJ3z7b62LlOXbh" TargetMode="External"/><Relationship Id="rId1328" Type="http://schemas.openxmlformats.org/officeDocument/2006/relationships/hyperlink" Target="https://drive.google.com/uc?export=view&amp;id=1Q3IVZaxV-XBrwaPX7qfi_U4uvNvLnBFq" TargetMode="External"/><Relationship Id="rId35" Type="http://schemas.openxmlformats.org/officeDocument/2006/relationships/hyperlink" Target="https://drive.google.com/file/d/1ygEaDA90jINF8d7llEYoWgl9zmSlTGgR/view?usp=drivesdk" TargetMode="External"/><Relationship Id="rId1329" Type="http://schemas.openxmlformats.org/officeDocument/2006/relationships/hyperlink" Target="https://drive.google.com/file/d/1YWniU5XyTTN0bNwapZpVf3b2BGtyKyTD/view?usp=drivesdk" TargetMode="External"/><Relationship Id="rId34" Type="http://schemas.openxmlformats.org/officeDocument/2006/relationships/hyperlink" Target="https://drive.google.com/uc?export=view&amp;id=1wGB7S1NA9EWp4vG8Rhecp9JibImHTFo4" TargetMode="External"/><Relationship Id="rId739" Type="http://schemas.openxmlformats.org/officeDocument/2006/relationships/hyperlink" Target="https://drive.google.com/file/d/1Cv_NGpDd33ZfaVk2gWOJ1j9U4Ne8F0-W/view?usp=drivesdk" TargetMode="External"/><Relationship Id="rId734" Type="http://schemas.openxmlformats.org/officeDocument/2006/relationships/hyperlink" Target="https://drive.google.com/uc?export=view&amp;id=1Qx6QoFAuHUQZMzEI68tgOgMjH1hO9Nhk" TargetMode="External"/><Relationship Id="rId733" Type="http://schemas.openxmlformats.org/officeDocument/2006/relationships/hyperlink" Target="https://drive.google.com/file/d/1Qx6QoFAuHUQZMzEI68tgOgMjH1hO9Nhk/view?usp=drivesdk" TargetMode="External"/><Relationship Id="rId732" Type="http://schemas.openxmlformats.org/officeDocument/2006/relationships/hyperlink" Target="https://drive.google.com/uc?export=view&amp;id=1dEFZSzTnj1axhnoLycSUigJWLNyszzhH" TargetMode="External"/><Relationship Id="rId731" Type="http://schemas.openxmlformats.org/officeDocument/2006/relationships/hyperlink" Target="https://drive.google.com/file/d/1dEFZSzTnj1axhnoLycSUigJWLNyszzhH/view?usp=drivesdk" TargetMode="External"/><Relationship Id="rId738" Type="http://schemas.openxmlformats.org/officeDocument/2006/relationships/hyperlink" Target="https://drive.google.com/uc?export=view&amp;id=1Nhi7wAWTwat25Ofvk8rX-ws_p4FhNC0Q" TargetMode="External"/><Relationship Id="rId737" Type="http://schemas.openxmlformats.org/officeDocument/2006/relationships/hyperlink" Target="https://drive.google.com/file/d/1Nhi7wAWTwat25Ofvk8rX-ws_p4FhNC0Q/view?usp=drivesdk" TargetMode="External"/><Relationship Id="rId736" Type="http://schemas.openxmlformats.org/officeDocument/2006/relationships/hyperlink" Target="https://drive.google.com/uc?export=view&amp;id=1lEn-ttF3D4GO-_IZ9NBXZ3FzNzW21_hp" TargetMode="External"/><Relationship Id="rId735" Type="http://schemas.openxmlformats.org/officeDocument/2006/relationships/hyperlink" Target="https://drive.google.com/file/d/1lEn-ttF3D4GO-_IZ9NBXZ3FzNzW21_hp/view?usp=drivesdk" TargetMode="External"/><Relationship Id="rId37" Type="http://schemas.openxmlformats.org/officeDocument/2006/relationships/hyperlink" Target="https://drive.google.com/file/d/1TEFQ5pgpCql5Lg09o99bR5v2jx6yHqs0/view?usp=drivesdk" TargetMode="External"/><Relationship Id="rId36" Type="http://schemas.openxmlformats.org/officeDocument/2006/relationships/hyperlink" Target="https://drive.google.com/uc?export=view&amp;id=1ygEaDA90jINF8d7llEYoWgl9zmSlTGgR" TargetMode="External"/><Relationship Id="rId39" Type="http://schemas.openxmlformats.org/officeDocument/2006/relationships/hyperlink" Target="https://drive.google.com/file/d/1q1FRZ8xbNXH7beXroq91CneyR0bcvcp0/view?usp=drivesdk" TargetMode="External"/><Relationship Id="rId38" Type="http://schemas.openxmlformats.org/officeDocument/2006/relationships/hyperlink" Target="https://drive.google.com/uc?export=view&amp;id=1TEFQ5pgpCql5Lg09o99bR5v2jx6yHqs0" TargetMode="External"/><Relationship Id="rId730" Type="http://schemas.openxmlformats.org/officeDocument/2006/relationships/hyperlink" Target="https://drive.google.com/uc?export=view&amp;id=1IP_WZesO112688yAcOpk2B98L0u1PWhP" TargetMode="External"/><Relationship Id="rId1320" Type="http://schemas.openxmlformats.org/officeDocument/2006/relationships/hyperlink" Target="https://drive.google.com/uc?export=view&amp;id=1KYFevxuTcjwnrcj-tVjlfOqRaSmi8oQb" TargetMode="External"/><Relationship Id="rId1321" Type="http://schemas.openxmlformats.org/officeDocument/2006/relationships/hyperlink" Target="https://drive.google.com/file/d/1E8Z9HaDpkMw9w-gA9Dtqmkcg3e-5OVVh/view?usp=drivesdk" TargetMode="External"/><Relationship Id="rId1322" Type="http://schemas.openxmlformats.org/officeDocument/2006/relationships/hyperlink" Target="https://drive.google.com/uc?export=view&amp;id=1E8Z9HaDpkMw9w-gA9Dtqmkcg3e-5OVVh" TargetMode="External"/><Relationship Id="rId1356" Type="http://schemas.openxmlformats.org/officeDocument/2006/relationships/hyperlink" Target="https://drive.google.com/uc?export=view&amp;id=12YWGBqiEmJpoT2wx85RQGAXznQYjH4Nc" TargetMode="External"/><Relationship Id="rId1357" Type="http://schemas.openxmlformats.org/officeDocument/2006/relationships/hyperlink" Target="https://drive.google.com/file/d/1jx044hrXCkEfRD0AqK-WP8xrpHRaNJCu/view?usp=drivesdk" TargetMode="External"/><Relationship Id="rId20" Type="http://schemas.openxmlformats.org/officeDocument/2006/relationships/hyperlink" Target="https://drive.google.com/uc?export=view&amp;id=1r4_NJbYl8qIDrmcRJe1ans1nRQT2e5e6" TargetMode="External"/><Relationship Id="rId1358" Type="http://schemas.openxmlformats.org/officeDocument/2006/relationships/hyperlink" Target="https://drive.google.com/uc?export=view&amp;id=1jx044hrXCkEfRD0AqK-WP8xrpHRaNJCu" TargetMode="External"/><Relationship Id="rId1359" Type="http://schemas.openxmlformats.org/officeDocument/2006/relationships/hyperlink" Target="https://drive.google.com/file/d/1l6rCQsEsbkKPkHio6bA2cDoltvsIOfHT/view?usp=drivesdk" TargetMode="External"/><Relationship Id="rId22" Type="http://schemas.openxmlformats.org/officeDocument/2006/relationships/hyperlink" Target="https://drive.google.com/uc?export=view&amp;id=17JeaNqQyelC8g1Lk4hebw-omzghYNVYd" TargetMode="External"/><Relationship Id="rId21" Type="http://schemas.openxmlformats.org/officeDocument/2006/relationships/hyperlink" Target="https://drive.google.com/file/d/17JeaNqQyelC8g1Lk4hebw-omzghYNVYd/view?usp=drivesdk" TargetMode="External"/><Relationship Id="rId24" Type="http://schemas.openxmlformats.org/officeDocument/2006/relationships/hyperlink" Target="https://drive.google.com/uc?export=view&amp;id=10wKZj06QELOmpLZVqmULzdId3r_vjlCf" TargetMode="External"/><Relationship Id="rId23" Type="http://schemas.openxmlformats.org/officeDocument/2006/relationships/hyperlink" Target="https://drive.google.com/file/d/10wKZj06QELOmpLZVqmULzdId3r_vjlCf/view?usp=drivesdk" TargetMode="External"/><Relationship Id="rId767" Type="http://schemas.openxmlformats.org/officeDocument/2006/relationships/hyperlink" Target="https://drive.google.com/file/d/1NLW9Yh8YaM-HZDUAbUgUIYEhuLjbMWwo/view?usp=drivesdk" TargetMode="External"/><Relationship Id="rId766" Type="http://schemas.openxmlformats.org/officeDocument/2006/relationships/hyperlink" Target="https://drive.google.com/uc?export=view&amp;id=1otpZxVvrGVugzyoEeiHzDtiGCD2x3FhB" TargetMode="External"/><Relationship Id="rId765" Type="http://schemas.openxmlformats.org/officeDocument/2006/relationships/hyperlink" Target="https://drive.google.com/file/d/1otpZxVvrGVugzyoEeiHzDtiGCD2x3FhB/view?usp=drivesdk" TargetMode="External"/><Relationship Id="rId764" Type="http://schemas.openxmlformats.org/officeDocument/2006/relationships/hyperlink" Target="https://drive.google.com/uc?export=view&amp;id=1pgRBHMLKeEyn1RRM20J2CXuNFc5-ZT15" TargetMode="External"/><Relationship Id="rId769" Type="http://schemas.openxmlformats.org/officeDocument/2006/relationships/hyperlink" Target="https://drive.google.com/file/d/1BZeDzzkIYPEMdk4wo4cAQqdqiMYRXq2f/view?usp=drivesdk" TargetMode="External"/><Relationship Id="rId768" Type="http://schemas.openxmlformats.org/officeDocument/2006/relationships/hyperlink" Target="https://drive.google.com/uc?export=view&amp;id=1NLW9Yh8YaM-HZDUAbUgUIYEhuLjbMWwo" TargetMode="External"/><Relationship Id="rId26" Type="http://schemas.openxmlformats.org/officeDocument/2006/relationships/hyperlink" Target="https://drive.google.com/uc?export=view&amp;id=1H720l-bBtPZSSq74ifjJH-Br6gVIpkG3" TargetMode="External"/><Relationship Id="rId25" Type="http://schemas.openxmlformats.org/officeDocument/2006/relationships/hyperlink" Target="https://drive.google.com/file/d/1H720l-bBtPZSSq74ifjJH-Br6gVIpkG3/view?usp=drivesdk" TargetMode="External"/><Relationship Id="rId28" Type="http://schemas.openxmlformats.org/officeDocument/2006/relationships/hyperlink" Target="https://drive.google.com/uc?export=view&amp;id=1H3nvYC9a2WLcTDitDSjd4cCQDnV2oEVp" TargetMode="External"/><Relationship Id="rId1350" Type="http://schemas.openxmlformats.org/officeDocument/2006/relationships/hyperlink" Target="https://drive.google.com/uc?export=view&amp;id=1jV1N_rm2IVnm54cl_OHdSnQuRQaEOFwu" TargetMode="External"/><Relationship Id="rId27" Type="http://schemas.openxmlformats.org/officeDocument/2006/relationships/hyperlink" Target="https://drive.google.com/file/d/1H3nvYC9a2WLcTDitDSjd4cCQDnV2oEVp/view?usp=drivesdk" TargetMode="External"/><Relationship Id="rId1351" Type="http://schemas.openxmlformats.org/officeDocument/2006/relationships/hyperlink" Target="https://drive.google.com/file/d/1bheXu2aLjQSEoLWUbw-RLjFngs6Esmc-/view?usp=drivesdk" TargetMode="External"/><Relationship Id="rId763" Type="http://schemas.openxmlformats.org/officeDocument/2006/relationships/hyperlink" Target="https://drive.google.com/file/d/1pgRBHMLKeEyn1RRM20J2CXuNFc5-ZT15/view?usp=drivesdk" TargetMode="External"/><Relationship Id="rId1352" Type="http://schemas.openxmlformats.org/officeDocument/2006/relationships/hyperlink" Target="https://drive.google.com/uc?export=view&amp;id=1bheXu2aLjQSEoLWUbw-RLjFngs6Esmc-" TargetMode="External"/><Relationship Id="rId29" Type="http://schemas.openxmlformats.org/officeDocument/2006/relationships/hyperlink" Target="https://drive.google.com/file/d/1VJVa_HN5D4QLi9agcyVmGpSNwkPTyQpL/view?usp=drivesdk" TargetMode="External"/><Relationship Id="rId762" Type="http://schemas.openxmlformats.org/officeDocument/2006/relationships/hyperlink" Target="https://drive.google.com/uc?export=view&amp;id=12AjWOJyhn2REE_ansfqHzESl9_WpRikT" TargetMode="External"/><Relationship Id="rId1353" Type="http://schemas.openxmlformats.org/officeDocument/2006/relationships/hyperlink" Target="https://drive.google.com/file/d/1tF2y0eXfuknsaqbxl7ja59Bs0a9j0U0z/view?usp=drivesdk" TargetMode="External"/><Relationship Id="rId761" Type="http://schemas.openxmlformats.org/officeDocument/2006/relationships/hyperlink" Target="https://drive.google.com/file/d/12AjWOJyhn2REE_ansfqHzESl9_WpRikT/view?usp=drivesdk" TargetMode="External"/><Relationship Id="rId1354" Type="http://schemas.openxmlformats.org/officeDocument/2006/relationships/hyperlink" Target="https://drive.google.com/uc?export=view&amp;id=1tF2y0eXfuknsaqbxl7ja59Bs0a9j0U0z" TargetMode="External"/><Relationship Id="rId760" Type="http://schemas.openxmlformats.org/officeDocument/2006/relationships/hyperlink" Target="https://drive.google.com/uc?export=view&amp;id=1srthMHdO_5O9qhfH-HXc_diR_-DSCGBb" TargetMode="External"/><Relationship Id="rId1355" Type="http://schemas.openxmlformats.org/officeDocument/2006/relationships/hyperlink" Target="https://drive.google.com/file/d/12YWGBqiEmJpoT2wx85RQGAXznQYjH4Nc/view?usp=drivesdk" TargetMode="External"/><Relationship Id="rId1345" Type="http://schemas.openxmlformats.org/officeDocument/2006/relationships/hyperlink" Target="https://drive.google.com/file/d/1poHquTpiP6Vm0KaRsEOFp6QyqGcz8edc/view?usp=drivesdk" TargetMode="External"/><Relationship Id="rId1346" Type="http://schemas.openxmlformats.org/officeDocument/2006/relationships/hyperlink" Target="https://drive.google.com/uc?export=view&amp;id=1poHquTpiP6Vm0KaRsEOFp6QyqGcz8edc" TargetMode="External"/><Relationship Id="rId1347" Type="http://schemas.openxmlformats.org/officeDocument/2006/relationships/hyperlink" Target="https://drive.google.com/file/d/1sGstGIp3knsG61rqCkgb46E46WEENMO9/view?usp=drivesdk" TargetMode="External"/><Relationship Id="rId1348" Type="http://schemas.openxmlformats.org/officeDocument/2006/relationships/hyperlink" Target="https://drive.google.com/uc?export=view&amp;id=1sGstGIp3knsG61rqCkgb46E46WEENMO9" TargetMode="External"/><Relationship Id="rId11" Type="http://schemas.openxmlformats.org/officeDocument/2006/relationships/hyperlink" Target="https://drive.google.com/file/d/1dsZdI-HPlnv_yWyFbAeFV0lZ2Q1YQ0Dz/view?usp=drivesdk" TargetMode="External"/><Relationship Id="rId1349" Type="http://schemas.openxmlformats.org/officeDocument/2006/relationships/hyperlink" Target="https://drive.google.com/file/d/1jV1N_rm2IVnm54cl_OHdSnQuRQaEOFwu/view?usp=drivesdk" TargetMode="External"/><Relationship Id="rId10" Type="http://schemas.openxmlformats.org/officeDocument/2006/relationships/hyperlink" Target="https://drive.google.com/uc?export=view&amp;id=1e71cvkL4Ok1TMuyPJMKlwVJkuXGSll5f" TargetMode="External"/><Relationship Id="rId13" Type="http://schemas.openxmlformats.org/officeDocument/2006/relationships/hyperlink" Target="https://drive.google.com/file/d/1SD2cgZqJEY5iSVqtmTF9L2XlyQhY_5dT/view?usp=drivesdk" TargetMode="External"/><Relationship Id="rId12" Type="http://schemas.openxmlformats.org/officeDocument/2006/relationships/hyperlink" Target="https://drive.google.com/uc?export=view&amp;id=1dsZdI-HPlnv_yWyFbAeFV0lZ2Q1YQ0Dz" TargetMode="External"/><Relationship Id="rId756" Type="http://schemas.openxmlformats.org/officeDocument/2006/relationships/hyperlink" Target="https://drive.google.com/uc?export=view&amp;id=12VmtMTCfjY6VdCDouEULwYcDNgdMJwSI" TargetMode="External"/><Relationship Id="rId755" Type="http://schemas.openxmlformats.org/officeDocument/2006/relationships/hyperlink" Target="https://drive.google.com/file/d/12VmtMTCfjY6VdCDouEULwYcDNgdMJwSI/view?usp=drivesdk" TargetMode="External"/><Relationship Id="rId754" Type="http://schemas.openxmlformats.org/officeDocument/2006/relationships/hyperlink" Target="https://drive.google.com/uc?export=view&amp;id=1_CGo6T4sJqjGqDUkIZ7UThqBFwrSBzrd" TargetMode="External"/><Relationship Id="rId753" Type="http://schemas.openxmlformats.org/officeDocument/2006/relationships/hyperlink" Target="https://drive.google.com/file/d/1_CGo6T4sJqjGqDUkIZ7UThqBFwrSBzrd/view?usp=drivesdk" TargetMode="External"/><Relationship Id="rId759" Type="http://schemas.openxmlformats.org/officeDocument/2006/relationships/hyperlink" Target="https://drive.google.com/file/d/1srthMHdO_5O9qhfH-HXc_diR_-DSCGBb/view?usp=drivesdk" TargetMode="External"/><Relationship Id="rId758" Type="http://schemas.openxmlformats.org/officeDocument/2006/relationships/hyperlink" Target="https://drive.google.com/uc?export=view&amp;id=1kq-8SnQv1GRdQRL9zcOrY5C48uPN8BQo" TargetMode="External"/><Relationship Id="rId757" Type="http://schemas.openxmlformats.org/officeDocument/2006/relationships/hyperlink" Target="https://drive.google.com/file/d/1kq-8SnQv1GRdQRL9zcOrY5C48uPN8BQo/view?usp=drivesdk" TargetMode="External"/><Relationship Id="rId15" Type="http://schemas.openxmlformats.org/officeDocument/2006/relationships/hyperlink" Target="https://drive.google.com/file/d/1ZVMMbiYfzlWRtWqP0zibn6y7PyvdhAXi/view?usp=drivesdk" TargetMode="External"/><Relationship Id="rId14" Type="http://schemas.openxmlformats.org/officeDocument/2006/relationships/hyperlink" Target="https://drive.google.com/uc?export=view&amp;id=1SD2cgZqJEY5iSVqtmTF9L2XlyQhY_5dT" TargetMode="External"/><Relationship Id="rId17" Type="http://schemas.openxmlformats.org/officeDocument/2006/relationships/hyperlink" Target="https://drive.google.com/file/d/1lM4oOh06mNhWSOQrKWpUgPoja2qJF0x8/view?usp=drivesdk" TargetMode="External"/><Relationship Id="rId16" Type="http://schemas.openxmlformats.org/officeDocument/2006/relationships/hyperlink" Target="https://drive.google.com/uc?export=view&amp;id=1ZVMMbiYfzlWRtWqP0zibn6y7PyvdhAXi" TargetMode="External"/><Relationship Id="rId1340" Type="http://schemas.openxmlformats.org/officeDocument/2006/relationships/hyperlink" Target="https://drive.google.com/uc?export=view&amp;id=11r5Cn_iC1VD1gpkuAaro-j0TiR-1ATKp" TargetMode="External"/><Relationship Id="rId19" Type="http://schemas.openxmlformats.org/officeDocument/2006/relationships/hyperlink" Target="https://drive.google.com/file/d/1r4_NJbYl8qIDrmcRJe1ans1nRQT2e5e6/view?usp=drivesdk" TargetMode="External"/><Relationship Id="rId752" Type="http://schemas.openxmlformats.org/officeDocument/2006/relationships/hyperlink" Target="https://drive.google.com/uc?export=view&amp;id=15e_cuyHDsIhar8P16BONvpSTpYDcnyDN" TargetMode="External"/><Relationship Id="rId1341" Type="http://schemas.openxmlformats.org/officeDocument/2006/relationships/hyperlink" Target="https://drive.google.com/file/d/1yQDLLes0Ugib4NMwkQyopzs8c1SVccBU/view?usp=drivesdk" TargetMode="External"/><Relationship Id="rId18" Type="http://schemas.openxmlformats.org/officeDocument/2006/relationships/hyperlink" Target="https://drive.google.com/uc?export=view&amp;id=1lM4oOh06mNhWSOQrKWpUgPoja2qJF0x8" TargetMode="External"/><Relationship Id="rId751" Type="http://schemas.openxmlformats.org/officeDocument/2006/relationships/hyperlink" Target="https://drive.google.com/file/d/15e_cuyHDsIhar8P16BONvpSTpYDcnyDN/view?usp=drivesdk" TargetMode="External"/><Relationship Id="rId1342" Type="http://schemas.openxmlformats.org/officeDocument/2006/relationships/hyperlink" Target="https://drive.google.com/uc?export=view&amp;id=1yQDLLes0Ugib4NMwkQyopzs8c1SVccBU" TargetMode="External"/><Relationship Id="rId750" Type="http://schemas.openxmlformats.org/officeDocument/2006/relationships/hyperlink" Target="https://drive.google.com/uc?export=view&amp;id=1ykl1jxvcC5txHklfmaNQ6iClkdCGcLXk" TargetMode="External"/><Relationship Id="rId1343" Type="http://schemas.openxmlformats.org/officeDocument/2006/relationships/hyperlink" Target="https://drive.google.com/file/d/1x82fmO6EhZqF9GaD6IYz5z-Fg9sfaOtW/view?usp=drivesdk" TargetMode="External"/><Relationship Id="rId1344" Type="http://schemas.openxmlformats.org/officeDocument/2006/relationships/hyperlink" Target="https://drive.google.com/uc?export=view&amp;id=1x82fmO6EhZqF9GaD6IYz5z-Fg9sfaOtW" TargetMode="External"/><Relationship Id="rId84" Type="http://schemas.openxmlformats.org/officeDocument/2006/relationships/hyperlink" Target="https://drive.google.com/uc?export=view&amp;id=1iY-LoEe1zXj1FFmjlimvd22RNqWcVzjL" TargetMode="External"/><Relationship Id="rId83" Type="http://schemas.openxmlformats.org/officeDocument/2006/relationships/hyperlink" Target="https://drive.google.com/file/d/1iY-LoEe1zXj1FFmjlimvd22RNqWcVzjL/view?usp=drivesdk" TargetMode="External"/><Relationship Id="rId86" Type="http://schemas.openxmlformats.org/officeDocument/2006/relationships/hyperlink" Target="https://drive.google.com/uc?export=view&amp;id=1EnLPVxzyh3KbIK_Qs0H5JVLJSiPj9ytW" TargetMode="External"/><Relationship Id="rId85" Type="http://schemas.openxmlformats.org/officeDocument/2006/relationships/hyperlink" Target="https://drive.google.com/file/d/1EnLPVxzyh3KbIK_Qs0H5JVLJSiPj9ytW/view?usp=drivesdk" TargetMode="External"/><Relationship Id="rId88" Type="http://schemas.openxmlformats.org/officeDocument/2006/relationships/hyperlink" Target="https://drive.google.com/uc?export=view&amp;id=1gcjHwhbuXWp-iGsL_5YdPL0jfkxZTVFm" TargetMode="External"/><Relationship Id="rId87" Type="http://schemas.openxmlformats.org/officeDocument/2006/relationships/hyperlink" Target="https://drive.google.com/file/d/1gcjHwhbuXWp-iGsL_5YdPL0jfkxZTVFm/view?usp=drivesdk" TargetMode="External"/><Relationship Id="rId89" Type="http://schemas.openxmlformats.org/officeDocument/2006/relationships/hyperlink" Target="https://drive.google.com/file/d/1cnS2Ud9716t5FmtoZj6jTix_PNuRynzr/view?usp=drivesdk" TargetMode="External"/><Relationship Id="rId709" Type="http://schemas.openxmlformats.org/officeDocument/2006/relationships/hyperlink" Target="https://drive.google.com/file/d/1TDALzyQmFJJxTZjPSZWQ1NMCVNVMhIZ0/view?usp=drivesdk" TargetMode="External"/><Relationship Id="rId708" Type="http://schemas.openxmlformats.org/officeDocument/2006/relationships/hyperlink" Target="https://drive.google.com/uc?export=view&amp;id=18xMHHKF_ulWOADKt-Ceo5xQuhxJIN9YA" TargetMode="External"/><Relationship Id="rId707" Type="http://schemas.openxmlformats.org/officeDocument/2006/relationships/hyperlink" Target="https://drive.google.com/file/d/18xMHHKF_ulWOADKt-Ceo5xQuhxJIN9YA/view?usp=drivesdk" TargetMode="External"/><Relationship Id="rId706" Type="http://schemas.openxmlformats.org/officeDocument/2006/relationships/hyperlink" Target="https://drive.google.com/uc?export=view&amp;id=1D5RjDRNHZ7gnqLlflzIZebMMmJMzHJRd" TargetMode="External"/><Relationship Id="rId80" Type="http://schemas.openxmlformats.org/officeDocument/2006/relationships/hyperlink" Target="https://drive.google.com/uc?export=view&amp;id=1zksSSkO5b1b9ls0dbHP8pmVPMwI7IjrC" TargetMode="External"/><Relationship Id="rId82" Type="http://schemas.openxmlformats.org/officeDocument/2006/relationships/hyperlink" Target="https://drive.google.com/uc?export=view&amp;id=1hGqeOP8lk8mPRSVllTegocNIF8RZWtGy" TargetMode="External"/><Relationship Id="rId81" Type="http://schemas.openxmlformats.org/officeDocument/2006/relationships/hyperlink" Target="https://drive.google.com/file/d/1hGqeOP8lk8mPRSVllTegocNIF8RZWtGy/view?usp=drivesdk" TargetMode="External"/><Relationship Id="rId701" Type="http://schemas.openxmlformats.org/officeDocument/2006/relationships/hyperlink" Target="https://drive.google.com/file/d/1AcaHQy-2weYGCZH_jJEk0ZhnZvE1SgW2/view?usp=drivesdk" TargetMode="External"/><Relationship Id="rId700" Type="http://schemas.openxmlformats.org/officeDocument/2006/relationships/hyperlink" Target="https://drive.google.com/uc?export=view&amp;id=1D2tAoe9g2rX9jWryido_KT1JCZ0RAw-S" TargetMode="External"/><Relationship Id="rId705" Type="http://schemas.openxmlformats.org/officeDocument/2006/relationships/hyperlink" Target="https://drive.google.com/file/d/1D5RjDRNHZ7gnqLlflzIZebMMmJMzHJRd/view?usp=drivesdk" TargetMode="External"/><Relationship Id="rId704" Type="http://schemas.openxmlformats.org/officeDocument/2006/relationships/hyperlink" Target="https://drive.google.com/uc?export=view&amp;id=1EI8HcVO-oDsMxs4SadpOxbWhIp5z0v3J" TargetMode="External"/><Relationship Id="rId703" Type="http://schemas.openxmlformats.org/officeDocument/2006/relationships/hyperlink" Target="https://drive.google.com/file/d/1EI8HcVO-oDsMxs4SadpOxbWhIp5z0v3J/view?usp=drivesdk" TargetMode="External"/><Relationship Id="rId702" Type="http://schemas.openxmlformats.org/officeDocument/2006/relationships/hyperlink" Target="https://drive.google.com/uc?export=view&amp;id=1AcaHQy-2weYGCZH_jJEk0ZhnZvE1SgW2" TargetMode="External"/><Relationship Id="rId73" Type="http://schemas.openxmlformats.org/officeDocument/2006/relationships/hyperlink" Target="https://drive.google.com/file/d/1goyINUYuYXIdGA5AUUsAuIASAg9ai33z/view?usp=drivesdk" TargetMode="External"/><Relationship Id="rId72" Type="http://schemas.openxmlformats.org/officeDocument/2006/relationships/hyperlink" Target="https://drive.google.com/uc?export=view&amp;id=1AD16-tc1wUxJCdfgOSA08pG6vYSzFmL5" TargetMode="External"/><Relationship Id="rId75" Type="http://schemas.openxmlformats.org/officeDocument/2006/relationships/hyperlink" Target="https://drive.google.com/file/d/1hbOGvcaTg4aWhA06tNmwQvwM4oFWqCCs/view?usp=drivesdk" TargetMode="External"/><Relationship Id="rId74" Type="http://schemas.openxmlformats.org/officeDocument/2006/relationships/hyperlink" Target="https://drive.google.com/uc?export=view&amp;id=1goyINUYuYXIdGA5AUUsAuIASAg9ai33z" TargetMode="External"/><Relationship Id="rId77" Type="http://schemas.openxmlformats.org/officeDocument/2006/relationships/hyperlink" Target="https://drive.google.com/file/d/1pMaKyYxo8WpSVVeJxVwO99dd4leId0N9/view?usp=drivesdk" TargetMode="External"/><Relationship Id="rId76" Type="http://schemas.openxmlformats.org/officeDocument/2006/relationships/hyperlink" Target="https://drive.google.com/uc?export=view&amp;id=1hbOGvcaTg4aWhA06tNmwQvwM4oFWqCCs" TargetMode="External"/><Relationship Id="rId79" Type="http://schemas.openxmlformats.org/officeDocument/2006/relationships/hyperlink" Target="https://drive.google.com/file/d/1zksSSkO5b1b9ls0dbHP8pmVPMwI7IjrC/view?usp=drivesdk" TargetMode="External"/><Relationship Id="rId78" Type="http://schemas.openxmlformats.org/officeDocument/2006/relationships/hyperlink" Target="https://drive.google.com/uc?export=view&amp;id=1pMaKyYxo8WpSVVeJxVwO99dd4leId0N9" TargetMode="External"/><Relationship Id="rId71" Type="http://schemas.openxmlformats.org/officeDocument/2006/relationships/hyperlink" Target="https://drive.google.com/file/d/1AD16-tc1wUxJCdfgOSA08pG6vYSzFmL5/view?usp=drivesdk" TargetMode="External"/><Relationship Id="rId70" Type="http://schemas.openxmlformats.org/officeDocument/2006/relationships/hyperlink" Target="https://drive.google.com/uc?export=view&amp;id=1QXUxBTird7lptP5pR6G-zRndm-feR4wo" TargetMode="External"/><Relationship Id="rId62" Type="http://schemas.openxmlformats.org/officeDocument/2006/relationships/hyperlink" Target="https://drive.google.com/uc?export=view&amp;id=1IeJYrjQUwAhKyfE8801_Uj3hXGPhNY0m" TargetMode="External"/><Relationship Id="rId1312" Type="http://schemas.openxmlformats.org/officeDocument/2006/relationships/hyperlink" Target="https://drive.google.com/uc?export=view&amp;id=1Phgyvzx9ZNqRRZIzq7JQdqMZNQXaaqu2" TargetMode="External"/><Relationship Id="rId61" Type="http://schemas.openxmlformats.org/officeDocument/2006/relationships/hyperlink" Target="https://drive.google.com/file/d/1IeJYrjQUwAhKyfE8801_Uj3hXGPhNY0m/view?usp=drivesdk" TargetMode="External"/><Relationship Id="rId1313" Type="http://schemas.openxmlformats.org/officeDocument/2006/relationships/hyperlink" Target="https://drive.google.com/file/d/1tmWQBaCs5kHGMAzlkpUatXMk3S59KXpB/view?usp=drivesdk" TargetMode="External"/><Relationship Id="rId64" Type="http://schemas.openxmlformats.org/officeDocument/2006/relationships/hyperlink" Target="https://drive.google.com/uc?export=view&amp;id=15AvGPiGcOXN-4OzhfykS-7X5j8G5qqqp" TargetMode="External"/><Relationship Id="rId1314" Type="http://schemas.openxmlformats.org/officeDocument/2006/relationships/hyperlink" Target="https://drive.google.com/uc?export=view&amp;id=1tmWQBaCs5kHGMAzlkpUatXMk3S59KXpB" TargetMode="External"/><Relationship Id="rId63" Type="http://schemas.openxmlformats.org/officeDocument/2006/relationships/hyperlink" Target="https://drive.google.com/file/d/15AvGPiGcOXN-4OzhfykS-7X5j8G5qqqp/view?usp=drivesdk" TargetMode="External"/><Relationship Id="rId1315" Type="http://schemas.openxmlformats.org/officeDocument/2006/relationships/hyperlink" Target="https://drive.google.com/file/d/1HmnccpRxUVp_OA_Vcw-Pwz95YF2NMulp/view?usp=drivesdk" TargetMode="External"/><Relationship Id="rId66" Type="http://schemas.openxmlformats.org/officeDocument/2006/relationships/hyperlink" Target="https://drive.google.com/uc?export=view&amp;id=1z5ozPIbe14Hq_v5shu60Iy3EF4dPTEYa" TargetMode="External"/><Relationship Id="rId1316" Type="http://schemas.openxmlformats.org/officeDocument/2006/relationships/hyperlink" Target="https://drive.google.com/uc?export=view&amp;id=1HmnccpRxUVp_OA_Vcw-Pwz95YF2NMulp" TargetMode="External"/><Relationship Id="rId65" Type="http://schemas.openxmlformats.org/officeDocument/2006/relationships/hyperlink" Target="https://drive.google.com/file/d/1z5ozPIbe14Hq_v5shu60Iy3EF4dPTEYa/view?usp=drivesdk" TargetMode="External"/><Relationship Id="rId1317" Type="http://schemas.openxmlformats.org/officeDocument/2006/relationships/hyperlink" Target="https://drive.google.com/file/d/1gcbnlQOtTj87YTCbNhIrpaOFBDQKBScH/view?usp=drivesdk" TargetMode="External"/><Relationship Id="rId68" Type="http://schemas.openxmlformats.org/officeDocument/2006/relationships/hyperlink" Target="https://drive.google.com/uc?export=view&amp;id=1tYIDu12BRnpnFis1iDi98XtgFJt2RJaY" TargetMode="External"/><Relationship Id="rId1318" Type="http://schemas.openxmlformats.org/officeDocument/2006/relationships/hyperlink" Target="https://drive.google.com/uc?export=view&amp;id=1gcbnlQOtTj87YTCbNhIrpaOFBDQKBScH" TargetMode="External"/><Relationship Id="rId67" Type="http://schemas.openxmlformats.org/officeDocument/2006/relationships/hyperlink" Target="https://drive.google.com/file/d/1tYIDu12BRnpnFis1iDi98XtgFJt2RJaY/view?usp=drivesdk" TargetMode="External"/><Relationship Id="rId1319" Type="http://schemas.openxmlformats.org/officeDocument/2006/relationships/hyperlink" Target="https://drive.google.com/file/d/1KYFevxuTcjwnrcj-tVjlfOqRaSmi8oQb/view?usp=drivesdk" TargetMode="External"/><Relationship Id="rId729" Type="http://schemas.openxmlformats.org/officeDocument/2006/relationships/hyperlink" Target="https://drive.google.com/file/d/1IP_WZesO112688yAcOpk2B98L0u1PWhP/view?usp=drivesdk" TargetMode="External"/><Relationship Id="rId728" Type="http://schemas.openxmlformats.org/officeDocument/2006/relationships/hyperlink" Target="https://drive.google.com/uc?export=view&amp;id=18kmrJIkJ70w1OIUw5wD6TqgKt9N4vgur" TargetMode="External"/><Relationship Id="rId60" Type="http://schemas.openxmlformats.org/officeDocument/2006/relationships/hyperlink" Target="https://drive.google.com/uc?export=view&amp;id=127gTL2-YZlJjTNzZpY2cdfwNE3aVTIXV" TargetMode="External"/><Relationship Id="rId723" Type="http://schemas.openxmlformats.org/officeDocument/2006/relationships/hyperlink" Target="https://drive.google.com/file/d/18yYOSm-unRC6vg7UMgqYmru7Onjhfx4i/view?usp=drivesdk" TargetMode="External"/><Relationship Id="rId722" Type="http://schemas.openxmlformats.org/officeDocument/2006/relationships/hyperlink" Target="https://drive.google.com/uc?export=view&amp;id=1MxlUxnhmA18-VOdFdEiGr52brFHKcmj0" TargetMode="External"/><Relationship Id="rId721" Type="http://schemas.openxmlformats.org/officeDocument/2006/relationships/hyperlink" Target="https://drive.google.com/file/d/1MxlUxnhmA18-VOdFdEiGr52brFHKcmj0/view?usp=drivesdk" TargetMode="External"/><Relationship Id="rId720" Type="http://schemas.openxmlformats.org/officeDocument/2006/relationships/hyperlink" Target="https://drive.google.com/uc?export=view&amp;id=1SBH4sQg_fLYQsBOYxhHHLYZU5GdzP--j" TargetMode="External"/><Relationship Id="rId727" Type="http://schemas.openxmlformats.org/officeDocument/2006/relationships/hyperlink" Target="https://drive.google.com/file/d/18kmrJIkJ70w1OIUw5wD6TqgKt9N4vgur/view?usp=drivesdk" TargetMode="External"/><Relationship Id="rId726" Type="http://schemas.openxmlformats.org/officeDocument/2006/relationships/hyperlink" Target="https://drive.google.com/uc?export=view&amp;id=18DIqSN5B5e1ZjcrqfEyxpj-GdhWMOPP8" TargetMode="External"/><Relationship Id="rId725" Type="http://schemas.openxmlformats.org/officeDocument/2006/relationships/hyperlink" Target="https://drive.google.com/file/d/18DIqSN5B5e1ZjcrqfEyxpj-GdhWMOPP8/view?usp=drivesdk" TargetMode="External"/><Relationship Id="rId724" Type="http://schemas.openxmlformats.org/officeDocument/2006/relationships/hyperlink" Target="https://drive.google.com/uc?export=view&amp;id=18yYOSm-unRC6vg7UMgqYmru7Onjhfx4i" TargetMode="External"/><Relationship Id="rId69" Type="http://schemas.openxmlformats.org/officeDocument/2006/relationships/hyperlink" Target="https://drive.google.com/file/d/1QXUxBTird7lptP5pR6G-zRndm-feR4wo/view?usp=drivesdk" TargetMode="External"/><Relationship Id="rId1310" Type="http://schemas.openxmlformats.org/officeDocument/2006/relationships/hyperlink" Target="https://drive.google.com/uc?export=view&amp;id=1F3Tm9XTdW8CulY7xOopnHw7tSb748jD1" TargetMode="External"/><Relationship Id="rId1311" Type="http://schemas.openxmlformats.org/officeDocument/2006/relationships/hyperlink" Target="https://drive.google.com/file/d/1Phgyvzx9ZNqRRZIzq7JQdqMZNQXaaqu2/view?usp=drivesdk" TargetMode="External"/><Relationship Id="rId51" Type="http://schemas.openxmlformats.org/officeDocument/2006/relationships/hyperlink" Target="https://drive.google.com/file/d/1a-SBHxV_JjGkEpkkD7P14sJGhuSEoKJu/view?usp=drivesdk" TargetMode="External"/><Relationship Id="rId1301" Type="http://schemas.openxmlformats.org/officeDocument/2006/relationships/hyperlink" Target="https://drive.google.com/file/d/1nHp-NdTA4Sy3OWSDcK5AwYWnmMMJWVEt/view?usp=drivesdk" TargetMode="External"/><Relationship Id="rId50" Type="http://schemas.openxmlformats.org/officeDocument/2006/relationships/hyperlink" Target="https://drive.google.com/uc?export=view&amp;id=1KL1ItwsD1rOoWhoDomJC3ghWizwDNfPJ" TargetMode="External"/><Relationship Id="rId1302" Type="http://schemas.openxmlformats.org/officeDocument/2006/relationships/hyperlink" Target="https://drive.google.com/uc?export=view&amp;id=1nHp-NdTA4Sy3OWSDcK5AwYWnmMMJWVEt" TargetMode="External"/><Relationship Id="rId53" Type="http://schemas.openxmlformats.org/officeDocument/2006/relationships/hyperlink" Target="https://drive.google.com/file/d/13D66IkPHLGIo4bkunrYMMCyuECoK0zNK/view?usp=drivesdk" TargetMode="External"/><Relationship Id="rId1303" Type="http://schemas.openxmlformats.org/officeDocument/2006/relationships/hyperlink" Target="https://drive.google.com/file/d/10SiEpAKPRNrRT8faUe9K8n6VBygx782M/view?usp=drivesdk" TargetMode="External"/><Relationship Id="rId52" Type="http://schemas.openxmlformats.org/officeDocument/2006/relationships/hyperlink" Target="https://drive.google.com/uc?export=view&amp;id=1a-SBHxV_JjGkEpkkD7P14sJGhuSEoKJu" TargetMode="External"/><Relationship Id="rId1304" Type="http://schemas.openxmlformats.org/officeDocument/2006/relationships/hyperlink" Target="https://drive.google.com/uc?export=view&amp;id=10SiEpAKPRNrRT8faUe9K8n6VBygx782M" TargetMode="External"/><Relationship Id="rId55" Type="http://schemas.openxmlformats.org/officeDocument/2006/relationships/hyperlink" Target="https://drive.google.com/file/d/1ON9GNsOJz7SZkshkHUQluPg9bZKFowyO/view?usp=drivesdk" TargetMode="External"/><Relationship Id="rId1305" Type="http://schemas.openxmlformats.org/officeDocument/2006/relationships/hyperlink" Target="https://drive.google.com/file/d/1cGykaSJEx6dwq6fF-aFd5nHWh2n97U3G/view?usp=drivesdk" TargetMode="External"/><Relationship Id="rId54" Type="http://schemas.openxmlformats.org/officeDocument/2006/relationships/hyperlink" Target="https://drive.google.com/uc?export=view&amp;id=13D66IkPHLGIo4bkunrYMMCyuECoK0zNK" TargetMode="External"/><Relationship Id="rId1306" Type="http://schemas.openxmlformats.org/officeDocument/2006/relationships/hyperlink" Target="https://drive.google.com/uc?export=view&amp;id=1cGykaSJEx6dwq6fF-aFd5nHWh2n97U3G" TargetMode="External"/><Relationship Id="rId57" Type="http://schemas.openxmlformats.org/officeDocument/2006/relationships/hyperlink" Target="https://drive.google.com/file/d/1bgC0_ihUsTcqOJqSCd4KvqiqCvl5VaUV/view?usp=drivesdk" TargetMode="External"/><Relationship Id="rId1307" Type="http://schemas.openxmlformats.org/officeDocument/2006/relationships/hyperlink" Target="https://drive.google.com/file/d/1EwFZy6ZE2KxfelwMG-yoA-KGEAgfCwSl/view?usp=drivesdk" TargetMode="External"/><Relationship Id="rId56" Type="http://schemas.openxmlformats.org/officeDocument/2006/relationships/hyperlink" Target="https://drive.google.com/uc?export=view&amp;id=1ON9GNsOJz7SZkshkHUQluPg9bZKFowyO" TargetMode="External"/><Relationship Id="rId1308" Type="http://schemas.openxmlformats.org/officeDocument/2006/relationships/hyperlink" Target="https://drive.google.com/uc?export=view&amp;id=1EwFZy6ZE2KxfelwMG-yoA-KGEAgfCwSl" TargetMode="External"/><Relationship Id="rId1309" Type="http://schemas.openxmlformats.org/officeDocument/2006/relationships/hyperlink" Target="https://drive.google.com/file/d/1F3Tm9XTdW8CulY7xOopnHw7tSb748jD1/view?usp=drivesdk" TargetMode="External"/><Relationship Id="rId719" Type="http://schemas.openxmlformats.org/officeDocument/2006/relationships/hyperlink" Target="https://drive.google.com/file/d/1SBH4sQg_fLYQsBOYxhHHLYZU5GdzP--j/view?usp=drivesdk" TargetMode="External"/><Relationship Id="rId718" Type="http://schemas.openxmlformats.org/officeDocument/2006/relationships/hyperlink" Target="https://drive.google.com/uc?export=view&amp;id=1VNxdJk_K_3-3Ebp0M8vLsOir_YvPU9AP" TargetMode="External"/><Relationship Id="rId717" Type="http://schemas.openxmlformats.org/officeDocument/2006/relationships/hyperlink" Target="https://drive.google.com/file/d/1VNxdJk_K_3-3Ebp0M8vLsOir_YvPU9AP/view?usp=drivesdk" TargetMode="External"/><Relationship Id="rId712" Type="http://schemas.openxmlformats.org/officeDocument/2006/relationships/hyperlink" Target="https://drive.google.com/uc?export=view&amp;id=1uLjilIx4xYlT6kLWytGiRwb2eMKwscUv" TargetMode="External"/><Relationship Id="rId711" Type="http://schemas.openxmlformats.org/officeDocument/2006/relationships/hyperlink" Target="https://drive.google.com/file/d/1uLjilIx4xYlT6kLWytGiRwb2eMKwscUv/view?usp=drivesdk" TargetMode="External"/><Relationship Id="rId710" Type="http://schemas.openxmlformats.org/officeDocument/2006/relationships/hyperlink" Target="https://drive.google.com/uc?export=view&amp;id=1TDALzyQmFJJxTZjPSZWQ1NMCVNVMhIZ0" TargetMode="External"/><Relationship Id="rId716" Type="http://schemas.openxmlformats.org/officeDocument/2006/relationships/hyperlink" Target="https://drive.google.com/uc?export=view&amp;id=14DgTKDEiLRrSdLvgwMb6w47ctYJrcOWk" TargetMode="External"/><Relationship Id="rId715" Type="http://schemas.openxmlformats.org/officeDocument/2006/relationships/hyperlink" Target="https://drive.google.com/file/d/14DgTKDEiLRrSdLvgwMb6w47ctYJrcOWk/view?usp=drivesdk" TargetMode="External"/><Relationship Id="rId714" Type="http://schemas.openxmlformats.org/officeDocument/2006/relationships/hyperlink" Target="https://drive.google.com/uc?export=view&amp;id=1yCRqhMwHdTv5x-vePCcOs0xW4KMUH1KX" TargetMode="External"/><Relationship Id="rId713" Type="http://schemas.openxmlformats.org/officeDocument/2006/relationships/hyperlink" Target="https://drive.google.com/file/d/1yCRqhMwHdTv5x-vePCcOs0xW4KMUH1KX/view?usp=drivesdk" TargetMode="External"/><Relationship Id="rId59" Type="http://schemas.openxmlformats.org/officeDocument/2006/relationships/hyperlink" Target="https://drive.google.com/file/d/127gTL2-YZlJjTNzZpY2cdfwNE3aVTIXV/view?usp=drivesdk" TargetMode="External"/><Relationship Id="rId58" Type="http://schemas.openxmlformats.org/officeDocument/2006/relationships/hyperlink" Target="https://drive.google.com/uc?export=view&amp;id=1bgC0_ihUsTcqOJqSCd4KvqiqCvl5VaUV" TargetMode="External"/><Relationship Id="rId1300" Type="http://schemas.openxmlformats.org/officeDocument/2006/relationships/hyperlink" Target="https://drive.google.com/uc?export=view&amp;id=1-tSYq_YpD-az34WStI7ieqs5LdO0fr7d" TargetMode="External"/><Relationship Id="rId349" Type="http://schemas.openxmlformats.org/officeDocument/2006/relationships/hyperlink" Target="https://drive.google.com/file/d/11JNu5s17qiJn3kYtvW43fwaQMRekJMu0/view?usp=drivesdk" TargetMode="External"/><Relationship Id="rId348" Type="http://schemas.openxmlformats.org/officeDocument/2006/relationships/hyperlink" Target="https://drive.google.com/uc?export=view&amp;id=1jiIxugB5dhlHYUBNX98i4BHRJwmoURGb" TargetMode="External"/><Relationship Id="rId347" Type="http://schemas.openxmlformats.org/officeDocument/2006/relationships/hyperlink" Target="https://drive.google.com/file/d/1jiIxugB5dhlHYUBNX98i4BHRJwmoURGb/view?usp=drivesdk" TargetMode="External"/><Relationship Id="rId346" Type="http://schemas.openxmlformats.org/officeDocument/2006/relationships/hyperlink" Target="https://drive.google.com/uc?export=view&amp;id=13H2ZQEZK_0ar3ojQA1gRjtp_zM86I6Gw" TargetMode="External"/><Relationship Id="rId341" Type="http://schemas.openxmlformats.org/officeDocument/2006/relationships/hyperlink" Target="https://drive.google.com/file/d/1YUGptOR0wCm5mUkJdMwJLWoFj22G2ZHy/view?usp=drivesdk" TargetMode="External"/><Relationship Id="rId340" Type="http://schemas.openxmlformats.org/officeDocument/2006/relationships/hyperlink" Target="https://drive.google.com/uc?export=view&amp;id=1VPcq4Hm72ctr1qPVNGgHllQ75p50fz9D" TargetMode="External"/><Relationship Id="rId345" Type="http://schemas.openxmlformats.org/officeDocument/2006/relationships/hyperlink" Target="https://drive.google.com/file/d/13H2ZQEZK_0ar3ojQA1gRjtp_zM86I6Gw/view?usp=drivesdk" TargetMode="External"/><Relationship Id="rId344" Type="http://schemas.openxmlformats.org/officeDocument/2006/relationships/hyperlink" Target="https://drive.google.com/uc?export=view&amp;id=1G0EZNbMeHXjiHjo_ZoPy9cnwKgkkEgTO" TargetMode="External"/><Relationship Id="rId343" Type="http://schemas.openxmlformats.org/officeDocument/2006/relationships/hyperlink" Target="https://drive.google.com/file/d/1G0EZNbMeHXjiHjo_ZoPy9cnwKgkkEgTO/view?usp=drivesdk" TargetMode="External"/><Relationship Id="rId342" Type="http://schemas.openxmlformats.org/officeDocument/2006/relationships/hyperlink" Target="https://drive.google.com/uc?export=view&amp;id=1YUGptOR0wCm5mUkJdMwJLWoFj22G2ZHy" TargetMode="External"/><Relationship Id="rId338" Type="http://schemas.openxmlformats.org/officeDocument/2006/relationships/hyperlink" Target="https://drive.google.com/uc?export=view&amp;id=1_RsVOuuuWiIZmtis5a61qMM9mYBjHf5_" TargetMode="External"/><Relationship Id="rId337" Type="http://schemas.openxmlformats.org/officeDocument/2006/relationships/hyperlink" Target="https://drive.google.com/file/d/1_RsVOuuuWiIZmtis5a61qMM9mYBjHf5_/view?usp=drivesdk" TargetMode="External"/><Relationship Id="rId336" Type="http://schemas.openxmlformats.org/officeDocument/2006/relationships/hyperlink" Target="https://drive.google.com/uc?export=view&amp;id=1gsJvxoKqUWk63gid6x4oR0C1bl-bhLrG" TargetMode="External"/><Relationship Id="rId335" Type="http://schemas.openxmlformats.org/officeDocument/2006/relationships/hyperlink" Target="https://drive.google.com/file/d/1gsJvxoKqUWk63gid6x4oR0C1bl-bhLrG/view?usp=drivesdk" TargetMode="External"/><Relationship Id="rId339" Type="http://schemas.openxmlformats.org/officeDocument/2006/relationships/hyperlink" Target="https://drive.google.com/file/d/1VPcq4Hm72ctr1qPVNGgHllQ75p50fz9D/view?usp=drivesdk" TargetMode="External"/><Relationship Id="rId330" Type="http://schemas.openxmlformats.org/officeDocument/2006/relationships/hyperlink" Target="https://drive.google.com/uc?export=view&amp;id=1H6fbNOFH6pRqD5D8W6hspPez_gR_eMlK" TargetMode="External"/><Relationship Id="rId334" Type="http://schemas.openxmlformats.org/officeDocument/2006/relationships/hyperlink" Target="https://drive.google.com/uc?export=view&amp;id=1NK5KXjMuCQeZVenqqtEHgHgmK_3mqS1E" TargetMode="External"/><Relationship Id="rId333" Type="http://schemas.openxmlformats.org/officeDocument/2006/relationships/hyperlink" Target="https://drive.google.com/file/d/1NK5KXjMuCQeZVenqqtEHgHgmK_3mqS1E/view?usp=drivesdk" TargetMode="External"/><Relationship Id="rId332" Type="http://schemas.openxmlformats.org/officeDocument/2006/relationships/hyperlink" Target="https://drive.google.com/uc?export=view&amp;id=1kCvMOuq1TF5trcdyUDRAacslJ8Sg6J-Q" TargetMode="External"/><Relationship Id="rId331" Type="http://schemas.openxmlformats.org/officeDocument/2006/relationships/hyperlink" Target="https://drive.google.com/file/d/1kCvMOuq1TF5trcdyUDRAacslJ8Sg6J-Q/view?usp=drivesdk" TargetMode="External"/><Relationship Id="rId370" Type="http://schemas.openxmlformats.org/officeDocument/2006/relationships/hyperlink" Target="https://drive.google.com/uc?export=view&amp;id=1g33dS84Is6d4w9I_3k85MwqWoqY8cj7s" TargetMode="External"/><Relationship Id="rId369" Type="http://schemas.openxmlformats.org/officeDocument/2006/relationships/hyperlink" Target="https://drive.google.com/file/d/1g33dS84Is6d4w9I_3k85MwqWoqY8cj7s/view?usp=drivesdk" TargetMode="External"/><Relationship Id="rId368" Type="http://schemas.openxmlformats.org/officeDocument/2006/relationships/hyperlink" Target="https://drive.google.com/uc?export=view&amp;id=1Z5LtI-uzQYYbi2NDdlCz5FOIk_6H1lBq" TargetMode="External"/><Relationship Id="rId363" Type="http://schemas.openxmlformats.org/officeDocument/2006/relationships/hyperlink" Target="https://drive.google.com/file/d/13DF52PFvLEhxQcUeoSBHJoGI9pPEB_Wk/view?usp=drivesdk" TargetMode="External"/><Relationship Id="rId362" Type="http://schemas.openxmlformats.org/officeDocument/2006/relationships/hyperlink" Target="https://drive.google.com/uc?export=view&amp;id=10rNTdtukEnQKv8hEnwo1dT44h3QqgkyW" TargetMode="External"/><Relationship Id="rId361" Type="http://schemas.openxmlformats.org/officeDocument/2006/relationships/hyperlink" Target="https://drive.google.com/file/d/10rNTdtukEnQKv8hEnwo1dT44h3QqgkyW/view?usp=drivesdk" TargetMode="External"/><Relationship Id="rId360" Type="http://schemas.openxmlformats.org/officeDocument/2006/relationships/hyperlink" Target="https://drive.google.com/uc?export=view&amp;id=1pdZ0Xo18Hs4vlFnMLZfG0CNqTqqUJMB3" TargetMode="External"/><Relationship Id="rId367" Type="http://schemas.openxmlformats.org/officeDocument/2006/relationships/hyperlink" Target="https://drive.google.com/file/d/1Z5LtI-uzQYYbi2NDdlCz5FOIk_6H1lBq/view?usp=drivesdk" TargetMode="External"/><Relationship Id="rId366" Type="http://schemas.openxmlformats.org/officeDocument/2006/relationships/hyperlink" Target="https://drive.google.com/uc?export=view&amp;id=13DHQmm9SfQ3b9WcQSiytuR3aTj-NzY47" TargetMode="External"/><Relationship Id="rId365" Type="http://schemas.openxmlformats.org/officeDocument/2006/relationships/hyperlink" Target="https://drive.google.com/file/d/13DHQmm9SfQ3b9WcQSiytuR3aTj-NzY47/view?usp=drivesdk" TargetMode="External"/><Relationship Id="rId364" Type="http://schemas.openxmlformats.org/officeDocument/2006/relationships/hyperlink" Target="https://drive.google.com/uc?export=view&amp;id=13DF52PFvLEhxQcUeoSBHJoGI9pPEB_Wk" TargetMode="External"/><Relationship Id="rId95" Type="http://schemas.openxmlformats.org/officeDocument/2006/relationships/hyperlink" Target="https://drive.google.com/file/d/1SMIMLV9RyOOUugN_3DMB38TxB5eFtWOP/view?usp=drivesdk" TargetMode="External"/><Relationship Id="rId94" Type="http://schemas.openxmlformats.org/officeDocument/2006/relationships/hyperlink" Target="https://drive.google.com/uc?export=view&amp;id=1eNHAckRUjfVmt-iP5Ho5ERC8xVCYMH6S" TargetMode="External"/><Relationship Id="rId97" Type="http://schemas.openxmlformats.org/officeDocument/2006/relationships/hyperlink" Target="https://drive.google.com/file/d/1DVOvy3Rwgajk_HcyOlhNZSxfll9j5_aU/view?usp=drivesdk" TargetMode="External"/><Relationship Id="rId96" Type="http://schemas.openxmlformats.org/officeDocument/2006/relationships/hyperlink" Target="https://drive.google.com/uc?export=view&amp;id=1SMIMLV9RyOOUugN_3DMB38TxB5eFtWOP" TargetMode="External"/><Relationship Id="rId99" Type="http://schemas.openxmlformats.org/officeDocument/2006/relationships/hyperlink" Target="https://drive.google.com/file/d/1C-jQCQZoXGq75FeiLQzuqndbaTl49qWY/view?usp=drivesdk" TargetMode="External"/><Relationship Id="rId98" Type="http://schemas.openxmlformats.org/officeDocument/2006/relationships/hyperlink" Target="https://drive.google.com/uc?export=view&amp;id=1DVOvy3Rwgajk_HcyOlhNZSxfll9j5_aU" TargetMode="External"/><Relationship Id="rId91" Type="http://schemas.openxmlformats.org/officeDocument/2006/relationships/hyperlink" Target="https://drive.google.com/file/d/1H5Xy5Ktu2FmOEqJXMEqMEoa2h0mUF4c3/view?usp=drivesdk" TargetMode="External"/><Relationship Id="rId90" Type="http://schemas.openxmlformats.org/officeDocument/2006/relationships/hyperlink" Target="https://drive.google.com/uc?export=view&amp;id=1cnS2Ud9716t5FmtoZj6jTix_PNuRynzr" TargetMode="External"/><Relationship Id="rId93" Type="http://schemas.openxmlformats.org/officeDocument/2006/relationships/hyperlink" Target="https://drive.google.com/file/d/1eNHAckRUjfVmt-iP5Ho5ERC8xVCYMH6S/view?usp=drivesdk" TargetMode="External"/><Relationship Id="rId92" Type="http://schemas.openxmlformats.org/officeDocument/2006/relationships/hyperlink" Target="https://drive.google.com/uc?export=view&amp;id=1H5Xy5Ktu2FmOEqJXMEqMEoa2h0mUF4c3" TargetMode="External"/><Relationship Id="rId359" Type="http://schemas.openxmlformats.org/officeDocument/2006/relationships/hyperlink" Target="https://drive.google.com/file/d/1pdZ0Xo18Hs4vlFnMLZfG0CNqTqqUJMB3/view?usp=drivesdk" TargetMode="External"/><Relationship Id="rId358" Type="http://schemas.openxmlformats.org/officeDocument/2006/relationships/hyperlink" Target="https://drive.google.com/uc?export=view&amp;id=123IZnye-EEVJEUTtvL1Z5TcNbJ0htL43" TargetMode="External"/><Relationship Id="rId357" Type="http://schemas.openxmlformats.org/officeDocument/2006/relationships/hyperlink" Target="https://drive.google.com/file/d/123IZnye-EEVJEUTtvL1Z5TcNbJ0htL43/view?usp=drivesdk" TargetMode="External"/><Relationship Id="rId352" Type="http://schemas.openxmlformats.org/officeDocument/2006/relationships/hyperlink" Target="https://drive.google.com/uc?export=view&amp;id=1bQstKFIW6gVLPqDy-pDILNRZ3uF9Ch9c" TargetMode="External"/><Relationship Id="rId351" Type="http://schemas.openxmlformats.org/officeDocument/2006/relationships/hyperlink" Target="https://drive.google.com/file/d/1bQstKFIW6gVLPqDy-pDILNRZ3uF9Ch9c/view?usp=drivesdk" TargetMode="External"/><Relationship Id="rId350" Type="http://schemas.openxmlformats.org/officeDocument/2006/relationships/hyperlink" Target="https://drive.google.com/uc?export=view&amp;id=11JNu5s17qiJn3kYtvW43fwaQMRekJMu0" TargetMode="External"/><Relationship Id="rId356" Type="http://schemas.openxmlformats.org/officeDocument/2006/relationships/hyperlink" Target="https://drive.google.com/uc?export=view&amp;id=1DrTuxE1Lpja5u8zt--m71EXnMJPJXE81" TargetMode="External"/><Relationship Id="rId355" Type="http://schemas.openxmlformats.org/officeDocument/2006/relationships/hyperlink" Target="https://drive.google.com/file/d/1DrTuxE1Lpja5u8zt--m71EXnMJPJXE81/view?usp=drivesdk" TargetMode="External"/><Relationship Id="rId354" Type="http://schemas.openxmlformats.org/officeDocument/2006/relationships/hyperlink" Target="https://drive.google.com/uc?export=view&amp;id=1ltfNj0fYZI35tndIDRD9L5zHpSRvrsOT" TargetMode="External"/><Relationship Id="rId353" Type="http://schemas.openxmlformats.org/officeDocument/2006/relationships/hyperlink" Target="https://drive.google.com/file/d/1ltfNj0fYZI35tndIDRD9L5zHpSRvrsOT/view?usp=drivesdk" TargetMode="External"/><Relationship Id="rId1378" Type="http://schemas.openxmlformats.org/officeDocument/2006/relationships/hyperlink" Target="https://drive.google.com/uc?export=view&amp;id=1V2LauBNo7Ps1dgecE9rPJD0C9W77DdS-" TargetMode="External"/><Relationship Id="rId1379" Type="http://schemas.openxmlformats.org/officeDocument/2006/relationships/hyperlink" Target="https://drive.google.com/file/d/1ETH8-rKU_VEEmoXIyX29wJjHeoofxW9T/view?usp=drivesdk" TargetMode="External"/><Relationship Id="rId305" Type="http://schemas.openxmlformats.org/officeDocument/2006/relationships/hyperlink" Target="https://drive.google.com/file/d/1M1p_vi6Zgz2Qbz_ISMUWdZRF_8NhQBJg/view?usp=drivesdk" TargetMode="External"/><Relationship Id="rId789" Type="http://schemas.openxmlformats.org/officeDocument/2006/relationships/hyperlink" Target="https://drive.google.com/file/d/1IB3b2jHJjj33WlQjDNRKzGtOQXKyQTS2/view?usp=drivesdk" TargetMode="External"/><Relationship Id="rId304" Type="http://schemas.openxmlformats.org/officeDocument/2006/relationships/hyperlink" Target="https://drive.google.com/uc?export=view&amp;id=1eP-CnJ__YYYIxrkJGvh5M3UM6iFqyF8g" TargetMode="External"/><Relationship Id="rId788" Type="http://schemas.openxmlformats.org/officeDocument/2006/relationships/hyperlink" Target="https://drive.google.com/uc?export=view&amp;id=1ALSx4NeR9LVCoP1QIZ2MVChJpqO7jEEO" TargetMode="External"/><Relationship Id="rId303" Type="http://schemas.openxmlformats.org/officeDocument/2006/relationships/hyperlink" Target="https://drive.google.com/file/d/1eP-CnJ__YYYIxrkJGvh5M3UM6iFqyF8g/view?usp=drivesdk" TargetMode="External"/><Relationship Id="rId787" Type="http://schemas.openxmlformats.org/officeDocument/2006/relationships/hyperlink" Target="https://drive.google.com/file/d/1ALSx4NeR9LVCoP1QIZ2MVChJpqO7jEEO/view?usp=drivesdk" TargetMode="External"/><Relationship Id="rId302" Type="http://schemas.openxmlformats.org/officeDocument/2006/relationships/hyperlink" Target="https://drive.google.com/uc?export=view&amp;id=1pmfiK4PTucLijbbEWoOD3MK1rl2ohNXJ" TargetMode="External"/><Relationship Id="rId786" Type="http://schemas.openxmlformats.org/officeDocument/2006/relationships/hyperlink" Target="https://drive.google.com/uc?export=view&amp;id=1JqSL9QwSEtiVNWIRTy8OV5ii6i1RLxM0" TargetMode="External"/><Relationship Id="rId309" Type="http://schemas.openxmlformats.org/officeDocument/2006/relationships/hyperlink" Target="https://drive.google.com/file/d/1lnHDQV3BB2nYLA-NkCVmN-CsTgJEk3vr/view?usp=drivesdk" TargetMode="External"/><Relationship Id="rId308" Type="http://schemas.openxmlformats.org/officeDocument/2006/relationships/hyperlink" Target="https://drive.google.com/uc?export=view&amp;id=10Acdr4MQ5n7ubQfZgqiQZ3VGccFN_dsx" TargetMode="External"/><Relationship Id="rId307" Type="http://schemas.openxmlformats.org/officeDocument/2006/relationships/hyperlink" Target="https://drive.google.com/file/d/10Acdr4MQ5n7ubQfZgqiQZ3VGccFN_dsx/view?usp=drivesdk" TargetMode="External"/><Relationship Id="rId306" Type="http://schemas.openxmlformats.org/officeDocument/2006/relationships/hyperlink" Target="https://drive.google.com/uc?export=view&amp;id=1M1p_vi6Zgz2Qbz_ISMUWdZRF_8NhQBJg" TargetMode="External"/><Relationship Id="rId781" Type="http://schemas.openxmlformats.org/officeDocument/2006/relationships/hyperlink" Target="https://drive.google.com/file/d/1WRAmeXPgUm8duFAIrdth1I3IB4GEUt8s/view?usp=drivesdk" TargetMode="External"/><Relationship Id="rId1370" Type="http://schemas.openxmlformats.org/officeDocument/2006/relationships/hyperlink" Target="https://drive.google.com/uc?export=view&amp;id=1WTQcOO7CjipyL7rYqchbnHZYLlcblq_a" TargetMode="External"/><Relationship Id="rId780" Type="http://schemas.openxmlformats.org/officeDocument/2006/relationships/hyperlink" Target="https://drive.google.com/uc?export=view&amp;id=1QydGY0xDA-7LV4M2wH2Yu_0L4ywpyGMX" TargetMode="External"/><Relationship Id="rId1371" Type="http://schemas.openxmlformats.org/officeDocument/2006/relationships/hyperlink" Target="https://drive.google.com/file/d/1hwayAqb2duoqOo3NaZfAYIJ2NguWGfNZ/view?usp=drivesdk" TargetMode="External"/><Relationship Id="rId1372" Type="http://schemas.openxmlformats.org/officeDocument/2006/relationships/hyperlink" Target="https://drive.google.com/uc?export=view&amp;id=1hwayAqb2duoqOo3NaZfAYIJ2NguWGfNZ" TargetMode="External"/><Relationship Id="rId1373" Type="http://schemas.openxmlformats.org/officeDocument/2006/relationships/hyperlink" Target="https://drive.google.com/file/d/1XBCrrT-B-VnXZLO1guQfyII1Hz_OB_bx/view?usp=drivesdk" TargetMode="External"/><Relationship Id="rId301" Type="http://schemas.openxmlformats.org/officeDocument/2006/relationships/hyperlink" Target="https://drive.google.com/file/d/1pmfiK4PTucLijbbEWoOD3MK1rl2ohNXJ/view?usp=drivesdk" TargetMode="External"/><Relationship Id="rId785" Type="http://schemas.openxmlformats.org/officeDocument/2006/relationships/hyperlink" Target="https://drive.google.com/file/d/1JqSL9QwSEtiVNWIRTy8OV5ii6i1RLxM0/view?usp=drivesdk" TargetMode="External"/><Relationship Id="rId1374" Type="http://schemas.openxmlformats.org/officeDocument/2006/relationships/hyperlink" Target="https://drive.google.com/uc?export=view&amp;id=1XBCrrT-B-VnXZLO1guQfyII1Hz_OB_bx" TargetMode="External"/><Relationship Id="rId300" Type="http://schemas.openxmlformats.org/officeDocument/2006/relationships/hyperlink" Target="https://drive.google.com/uc?export=view&amp;id=13SeZnokD3cUYWlu843cLJ_27ZaWQBmNj" TargetMode="External"/><Relationship Id="rId784" Type="http://schemas.openxmlformats.org/officeDocument/2006/relationships/hyperlink" Target="https://drive.google.com/uc?export=view&amp;id=1Iy9ttBqqbL0kMzfN46yyljbpSZi4rTx9" TargetMode="External"/><Relationship Id="rId1375" Type="http://schemas.openxmlformats.org/officeDocument/2006/relationships/hyperlink" Target="https://drive.google.com/file/d/1OOqHy1fvUyvgw_ivgblXywBPQ9e4xr4A/view?usp=drivesdk" TargetMode="External"/><Relationship Id="rId783" Type="http://schemas.openxmlformats.org/officeDocument/2006/relationships/hyperlink" Target="https://drive.google.com/file/d/1Iy9ttBqqbL0kMzfN46yyljbpSZi4rTx9/view?usp=drivesdk" TargetMode="External"/><Relationship Id="rId1376" Type="http://schemas.openxmlformats.org/officeDocument/2006/relationships/hyperlink" Target="https://drive.google.com/uc?export=view&amp;id=1OOqHy1fvUyvgw_ivgblXywBPQ9e4xr4A" TargetMode="External"/><Relationship Id="rId782" Type="http://schemas.openxmlformats.org/officeDocument/2006/relationships/hyperlink" Target="https://drive.google.com/uc?export=view&amp;id=1WRAmeXPgUm8duFAIrdth1I3IB4GEUt8s" TargetMode="External"/><Relationship Id="rId1377" Type="http://schemas.openxmlformats.org/officeDocument/2006/relationships/hyperlink" Target="https://drive.google.com/file/d/1V2LauBNo7Ps1dgecE9rPJD0C9W77DdS-/view?usp=drivesdk" TargetMode="External"/><Relationship Id="rId1367" Type="http://schemas.openxmlformats.org/officeDocument/2006/relationships/hyperlink" Target="https://drive.google.com/file/d/1v3oXgaqf1ENptzupJBnM73oiG-OQwHPE/view?usp=drivesdk" TargetMode="External"/><Relationship Id="rId1368" Type="http://schemas.openxmlformats.org/officeDocument/2006/relationships/hyperlink" Target="https://drive.google.com/uc?export=view&amp;id=1v3oXgaqf1ENptzupJBnM73oiG-OQwHPE" TargetMode="External"/><Relationship Id="rId1369" Type="http://schemas.openxmlformats.org/officeDocument/2006/relationships/hyperlink" Target="https://drive.google.com/file/d/1WTQcOO7CjipyL7rYqchbnHZYLlcblq_a/view?usp=drivesdk" TargetMode="External"/><Relationship Id="rId778" Type="http://schemas.openxmlformats.org/officeDocument/2006/relationships/hyperlink" Target="https://drive.google.com/uc?export=view&amp;id=17Rd3XmUBLoJ0bWQ9SnZq9WxQHT7gvl-_" TargetMode="External"/><Relationship Id="rId777" Type="http://schemas.openxmlformats.org/officeDocument/2006/relationships/hyperlink" Target="https://drive.google.com/file/d/17Rd3XmUBLoJ0bWQ9SnZq9WxQHT7gvl-_/view?usp=drivesdk" TargetMode="External"/><Relationship Id="rId776" Type="http://schemas.openxmlformats.org/officeDocument/2006/relationships/hyperlink" Target="https://drive.google.com/uc?export=view&amp;id=1qePQJmVfakr5ws3UBWhD7ijAIKPWyU6g" TargetMode="External"/><Relationship Id="rId775" Type="http://schemas.openxmlformats.org/officeDocument/2006/relationships/hyperlink" Target="https://drive.google.com/file/d/1qePQJmVfakr5ws3UBWhD7ijAIKPWyU6g/view?usp=drivesdk" TargetMode="External"/><Relationship Id="rId779" Type="http://schemas.openxmlformats.org/officeDocument/2006/relationships/hyperlink" Target="https://drive.google.com/file/d/1QydGY0xDA-7LV4M2wH2Yu_0L4ywpyGMX/view?usp=drivesdk" TargetMode="External"/><Relationship Id="rId770" Type="http://schemas.openxmlformats.org/officeDocument/2006/relationships/hyperlink" Target="https://drive.google.com/uc?export=view&amp;id=1BZeDzzkIYPEMdk4wo4cAQqdqiMYRXq2f" TargetMode="External"/><Relationship Id="rId1360" Type="http://schemas.openxmlformats.org/officeDocument/2006/relationships/hyperlink" Target="https://drive.google.com/uc?export=view&amp;id=1l6rCQsEsbkKPkHio6bA2cDoltvsIOfHT" TargetMode="External"/><Relationship Id="rId1361" Type="http://schemas.openxmlformats.org/officeDocument/2006/relationships/hyperlink" Target="https://drive.google.com/file/d/1CyzFZnZkltaA96ERQz4J_So448SFNoUS/view?usp=drivesdk" TargetMode="External"/><Relationship Id="rId1362" Type="http://schemas.openxmlformats.org/officeDocument/2006/relationships/hyperlink" Target="https://drive.google.com/uc?export=view&amp;id=1CyzFZnZkltaA96ERQz4J_So448SFNoUS" TargetMode="External"/><Relationship Id="rId774" Type="http://schemas.openxmlformats.org/officeDocument/2006/relationships/hyperlink" Target="https://drive.google.com/uc?export=view&amp;id=12DIYZZPFCFSniecDtWtRU4jXOZdKXtqX" TargetMode="External"/><Relationship Id="rId1363" Type="http://schemas.openxmlformats.org/officeDocument/2006/relationships/hyperlink" Target="https://drive.google.com/file/d/1ANLim31YFP38gW8zWejfMOkU7LQpI4a2/view?usp=drivesdk" TargetMode="External"/><Relationship Id="rId773" Type="http://schemas.openxmlformats.org/officeDocument/2006/relationships/hyperlink" Target="https://drive.google.com/file/d/12DIYZZPFCFSniecDtWtRU4jXOZdKXtqX/view?usp=drivesdk" TargetMode="External"/><Relationship Id="rId1364" Type="http://schemas.openxmlformats.org/officeDocument/2006/relationships/hyperlink" Target="https://drive.google.com/uc?export=view&amp;id=1ANLim31YFP38gW8zWejfMOkU7LQpI4a2" TargetMode="External"/><Relationship Id="rId772" Type="http://schemas.openxmlformats.org/officeDocument/2006/relationships/hyperlink" Target="https://drive.google.com/uc?export=view&amp;id=1M0EtKIzLfa4AAau0hxMFHXiPLK5wiHwt" TargetMode="External"/><Relationship Id="rId1365" Type="http://schemas.openxmlformats.org/officeDocument/2006/relationships/hyperlink" Target="https://drive.google.com/file/d/1x19PC7EhqaZeuKyuQ2_NprOEMEK_j9VV/view?usp=drivesdk" TargetMode="External"/><Relationship Id="rId771" Type="http://schemas.openxmlformats.org/officeDocument/2006/relationships/hyperlink" Target="https://drive.google.com/file/d/1M0EtKIzLfa4AAau0hxMFHXiPLK5wiHwt/view?usp=drivesdk" TargetMode="External"/><Relationship Id="rId1366" Type="http://schemas.openxmlformats.org/officeDocument/2006/relationships/hyperlink" Target="https://drive.google.com/uc?export=view&amp;id=1x19PC7EhqaZeuKyuQ2_NprOEMEK_j9VV" TargetMode="External"/><Relationship Id="rId327" Type="http://schemas.openxmlformats.org/officeDocument/2006/relationships/hyperlink" Target="https://drive.google.com/file/d/1471pNj_kp78wIS4KJX8sdDEb9Q0MssPo/view?usp=drivesdk" TargetMode="External"/><Relationship Id="rId326" Type="http://schemas.openxmlformats.org/officeDocument/2006/relationships/hyperlink" Target="https://drive.google.com/uc?export=view&amp;id=1MHSuCakUPeqf1hVvq3K5TSCmux9e0Viv" TargetMode="External"/><Relationship Id="rId325" Type="http://schemas.openxmlformats.org/officeDocument/2006/relationships/hyperlink" Target="https://drive.google.com/file/d/1MHSuCakUPeqf1hVvq3K5TSCmux9e0Viv/view?usp=drivesdk" TargetMode="External"/><Relationship Id="rId324" Type="http://schemas.openxmlformats.org/officeDocument/2006/relationships/hyperlink" Target="https://drive.google.com/uc?export=view&amp;id=1yS9CcFriVPis59g4z26Nc7BgS3FnsfcL" TargetMode="External"/><Relationship Id="rId329" Type="http://schemas.openxmlformats.org/officeDocument/2006/relationships/hyperlink" Target="https://drive.google.com/file/d/1H6fbNOFH6pRqD5D8W6hspPez_gR_eMlK/view?usp=drivesdk" TargetMode="External"/><Relationship Id="rId1390" Type="http://schemas.openxmlformats.org/officeDocument/2006/relationships/hyperlink" Target="https://drive.google.com/uc?export=view&amp;id=1uch6u-C4Q55WSnsxKUiJcEuxzy_sme7G" TargetMode="External"/><Relationship Id="rId328" Type="http://schemas.openxmlformats.org/officeDocument/2006/relationships/hyperlink" Target="https://drive.google.com/uc?export=view&amp;id=1471pNj_kp78wIS4KJX8sdDEb9Q0MssPo" TargetMode="External"/><Relationship Id="rId1391" Type="http://schemas.openxmlformats.org/officeDocument/2006/relationships/hyperlink" Target="https://drive.google.com/file/d/12d7yOrVNmr4Ut7W6IXazECEFaZ2KW9Zb/view?usp=drivesdk" TargetMode="External"/><Relationship Id="rId1392" Type="http://schemas.openxmlformats.org/officeDocument/2006/relationships/hyperlink" Target="https://drive.google.com/uc?export=view&amp;id=12d7yOrVNmr4Ut7W6IXazECEFaZ2KW9Zb" TargetMode="External"/><Relationship Id="rId1393" Type="http://schemas.openxmlformats.org/officeDocument/2006/relationships/hyperlink" Target="https://drive.google.com/file/d/1zakE_phHi7HL8wqcI9oQ7Ij_ocxB7ZjK/view?usp=drivesdk" TargetMode="External"/><Relationship Id="rId1394" Type="http://schemas.openxmlformats.org/officeDocument/2006/relationships/hyperlink" Target="https://drive.google.com/uc?export=view&amp;id=1zakE_phHi7HL8wqcI9oQ7Ij_ocxB7ZjK" TargetMode="External"/><Relationship Id="rId1395" Type="http://schemas.openxmlformats.org/officeDocument/2006/relationships/hyperlink" Target="https://drive.google.com/file/d/1DBkOUn8arXhn9VgtpWEjjTJUnCW7ji05/view?usp=drivesdk" TargetMode="External"/><Relationship Id="rId323" Type="http://schemas.openxmlformats.org/officeDocument/2006/relationships/hyperlink" Target="https://drive.google.com/file/d/1yS9CcFriVPis59g4z26Nc7BgS3FnsfcL/view?usp=drivesdk" TargetMode="External"/><Relationship Id="rId1396" Type="http://schemas.openxmlformats.org/officeDocument/2006/relationships/hyperlink" Target="https://drive.google.com/uc?export=view&amp;id=1DBkOUn8arXhn9VgtpWEjjTJUnCW7ji05" TargetMode="External"/><Relationship Id="rId322" Type="http://schemas.openxmlformats.org/officeDocument/2006/relationships/hyperlink" Target="https://drive.google.com/uc?export=view&amp;id=1WHsmvO3G0t_al4jTOQmRnPJnrn_HYjY9" TargetMode="External"/><Relationship Id="rId1397" Type="http://schemas.openxmlformats.org/officeDocument/2006/relationships/hyperlink" Target="https://drive.google.com/file/d/1AV4WRvjVuwPthZ7P7h4aJfOST4KY7t_e/view?usp=drivesdk" TargetMode="External"/><Relationship Id="rId321" Type="http://schemas.openxmlformats.org/officeDocument/2006/relationships/hyperlink" Target="https://drive.google.com/file/d/1WHsmvO3G0t_al4jTOQmRnPJnrn_HYjY9/view?usp=drivesdk" TargetMode="External"/><Relationship Id="rId1398" Type="http://schemas.openxmlformats.org/officeDocument/2006/relationships/hyperlink" Target="https://drive.google.com/uc?export=view&amp;id=1AV4WRvjVuwPthZ7P7h4aJfOST4KY7t_e" TargetMode="External"/><Relationship Id="rId320" Type="http://schemas.openxmlformats.org/officeDocument/2006/relationships/hyperlink" Target="https://drive.google.com/uc?export=view&amp;id=12v7TMj5JkE2xVDlpiTyr4hbT-qR3jACP" TargetMode="External"/><Relationship Id="rId1399" Type="http://schemas.openxmlformats.org/officeDocument/2006/relationships/hyperlink" Target="https://drive.google.com/file/d/10I0PEndo3WYtAkA3IKTOKAjxF1WzJ5tO/view?usp=drivesdk" TargetMode="External"/><Relationship Id="rId1389" Type="http://schemas.openxmlformats.org/officeDocument/2006/relationships/hyperlink" Target="https://drive.google.com/file/d/1uch6u-C4Q55WSnsxKUiJcEuxzy_sme7G/view?usp=drivesdk" TargetMode="External"/><Relationship Id="rId316" Type="http://schemas.openxmlformats.org/officeDocument/2006/relationships/hyperlink" Target="https://drive.google.com/uc?export=view&amp;id=1N_S1Lq3wljjSyh1dTEbVmLh8Ec428OZZ" TargetMode="External"/><Relationship Id="rId315" Type="http://schemas.openxmlformats.org/officeDocument/2006/relationships/hyperlink" Target="https://drive.google.com/file/d/1N_S1Lq3wljjSyh1dTEbVmLh8Ec428OZZ/view?usp=drivesdk" TargetMode="External"/><Relationship Id="rId799" Type="http://schemas.openxmlformats.org/officeDocument/2006/relationships/hyperlink" Target="https://drive.google.com/file/d/1bJVzl-oNbGrzdcZPP0XsVKXq_IWoaPHv/view?usp=drivesdk" TargetMode="External"/><Relationship Id="rId314" Type="http://schemas.openxmlformats.org/officeDocument/2006/relationships/hyperlink" Target="https://drive.google.com/uc?export=view&amp;id=1CE8fqgYQ_0E9ryVyTUIbq57XOYspLdTJ" TargetMode="External"/><Relationship Id="rId798" Type="http://schemas.openxmlformats.org/officeDocument/2006/relationships/hyperlink" Target="https://drive.google.com/uc?export=view&amp;id=1CvoSArCqD9gfMbKJUi9OBKJ7HKirZIi3" TargetMode="External"/><Relationship Id="rId313" Type="http://schemas.openxmlformats.org/officeDocument/2006/relationships/hyperlink" Target="https://drive.google.com/file/d/1CE8fqgYQ_0E9ryVyTUIbq57XOYspLdTJ/view?usp=drivesdk" TargetMode="External"/><Relationship Id="rId797" Type="http://schemas.openxmlformats.org/officeDocument/2006/relationships/hyperlink" Target="https://drive.google.com/file/d/1CvoSArCqD9gfMbKJUi9OBKJ7HKirZIi3/view?usp=drivesdk" TargetMode="External"/><Relationship Id="rId319" Type="http://schemas.openxmlformats.org/officeDocument/2006/relationships/hyperlink" Target="https://drive.google.com/file/d/12v7TMj5JkE2xVDlpiTyr4hbT-qR3jACP/view?usp=drivesdk" TargetMode="External"/><Relationship Id="rId318" Type="http://schemas.openxmlformats.org/officeDocument/2006/relationships/hyperlink" Target="https://drive.google.com/uc?export=view&amp;id=1Yc4NCuMAd3sR0kaxBjEd0zeYcpZtvWDt" TargetMode="External"/><Relationship Id="rId317" Type="http://schemas.openxmlformats.org/officeDocument/2006/relationships/hyperlink" Target="https://drive.google.com/file/d/1Yc4NCuMAd3sR0kaxBjEd0zeYcpZtvWDt/view?usp=drivesdk" TargetMode="External"/><Relationship Id="rId1380" Type="http://schemas.openxmlformats.org/officeDocument/2006/relationships/hyperlink" Target="https://drive.google.com/uc?export=view&amp;id=1ETH8-rKU_VEEmoXIyX29wJjHeoofxW9T" TargetMode="External"/><Relationship Id="rId792" Type="http://schemas.openxmlformats.org/officeDocument/2006/relationships/hyperlink" Target="https://drive.google.com/uc?export=view&amp;id=1zKxnYjxQgFfuuiuLbw9ak95C9PENQohB" TargetMode="External"/><Relationship Id="rId1381" Type="http://schemas.openxmlformats.org/officeDocument/2006/relationships/hyperlink" Target="https://drive.google.com/file/d/135ldHjHzBd0Ib9S0_aoeyzXsw6zOvsD4/view?usp=drivesdk" TargetMode="External"/><Relationship Id="rId791" Type="http://schemas.openxmlformats.org/officeDocument/2006/relationships/hyperlink" Target="https://drive.google.com/file/d/1zKxnYjxQgFfuuiuLbw9ak95C9PENQohB/view?usp=drivesdk" TargetMode="External"/><Relationship Id="rId1382" Type="http://schemas.openxmlformats.org/officeDocument/2006/relationships/hyperlink" Target="https://drive.google.com/uc?export=view&amp;id=135ldHjHzBd0Ib9S0_aoeyzXsw6zOvsD4" TargetMode="External"/><Relationship Id="rId790" Type="http://schemas.openxmlformats.org/officeDocument/2006/relationships/hyperlink" Target="https://drive.google.com/uc?export=view&amp;id=1IB3b2jHJjj33WlQjDNRKzGtOQXKyQTS2" TargetMode="External"/><Relationship Id="rId1383" Type="http://schemas.openxmlformats.org/officeDocument/2006/relationships/hyperlink" Target="https://drive.google.com/file/d/1OvhvL4tcwTiLmaYd7-T5A9cKDwjO1eC4/view?usp=drivesdk" TargetMode="External"/><Relationship Id="rId1384" Type="http://schemas.openxmlformats.org/officeDocument/2006/relationships/hyperlink" Target="https://drive.google.com/uc?export=view&amp;id=1OvhvL4tcwTiLmaYd7-T5A9cKDwjO1eC4" TargetMode="External"/><Relationship Id="rId312" Type="http://schemas.openxmlformats.org/officeDocument/2006/relationships/hyperlink" Target="https://drive.google.com/uc?export=view&amp;id=1BVyBkyI2bDCbj2XL8t2BJ6BQGM-0Nc3y" TargetMode="External"/><Relationship Id="rId796" Type="http://schemas.openxmlformats.org/officeDocument/2006/relationships/hyperlink" Target="https://drive.google.com/uc?export=view&amp;id=1XdoxmoSZYJhMtA9Ogk-ygH1F_b7h-_2t" TargetMode="External"/><Relationship Id="rId1385" Type="http://schemas.openxmlformats.org/officeDocument/2006/relationships/hyperlink" Target="https://drive.google.com/file/d/1wL8QeQ-aYxNgJAqLEOWwRl5bE9oU-j7M/view?usp=drivesdk" TargetMode="External"/><Relationship Id="rId311" Type="http://schemas.openxmlformats.org/officeDocument/2006/relationships/hyperlink" Target="https://drive.google.com/file/d/1BVyBkyI2bDCbj2XL8t2BJ6BQGM-0Nc3y/view?usp=drivesdk" TargetMode="External"/><Relationship Id="rId795" Type="http://schemas.openxmlformats.org/officeDocument/2006/relationships/hyperlink" Target="https://drive.google.com/file/d/1XdoxmoSZYJhMtA9Ogk-ygH1F_b7h-_2t/view?usp=drivesdk" TargetMode="External"/><Relationship Id="rId1386" Type="http://schemas.openxmlformats.org/officeDocument/2006/relationships/hyperlink" Target="https://drive.google.com/uc?export=view&amp;id=1wL8QeQ-aYxNgJAqLEOWwRl5bE9oU-j7M" TargetMode="External"/><Relationship Id="rId310" Type="http://schemas.openxmlformats.org/officeDocument/2006/relationships/hyperlink" Target="https://drive.google.com/uc?export=view&amp;id=1lnHDQV3BB2nYLA-NkCVmN-CsTgJEk3vr" TargetMode="External"/><Relationship Id="rId794" Type="http://schemas.openxmlformats.org/officeDocument/2006/relationships/hyperlink" Target="https://drive.google.com/uc?export=view&amp;id=1DLJ2KrwnEujjkPOyxpPC-vZeypW5Luhd" TargetMode="External"/><Relationship Id="rId1387" Type="http://schemas.openxmlformats.org/officeDocument/2006/relationships/hyperlink" Target="https://drive.google.com/file/d/1JizFaVbSAD16O5vCu1VbMUxhHae2sa1m/view?usp=drivesdk" TargetMode="External"/><Relationship Id="rId793" Type="http://schemas.openxmlformats.org/officeDocument/2006/relationships/hyperlink" Target="https://drive.google.com/file/d/1DLJ2KrwnEujjkPOyxpPC-vZeypW5Luhd/view?usp=drivesdk" TargetMode="External"/><Relationship Id="rId1388" Type="http://schemas.openxmlformats.org/officeDocument/2006/relationships/hyperlink" Target="https://drive.google.com/uc?export=view&amp;id=1JizFaVbSAD16O5vCu1VbMUxhHae2sa1m" TargetMode="External"/><Relationship Id="rId297" Type="http://schemas.openxmlformats.org/officeDocument/2006/relationships/hyperlink" Target="https://drive.google.com/file/d/1ENe1dqk71EfjZ-iKBhOqFmQNa47nrx8B/view?usp=drivesdk" TargetMode="External"/><Relationship Id="rId296" Type="http://schemas.openxmlformats.org/officeDocument/2006/relationships/hyperlink" Target="https://drive.google.com/uc?export=view&amp;id=1qBvjL0z1QZsV2UmRIb9wn5T8_A8qX3ji" TargetMode="External"/><Relationship Id="rId295" Type="http://schemas.openxmlformats.org/officeDocument/2006/relationships/hyperlink" Target="https://drive.google.com/file/d/1qBvjL0z1QZsV2UmRIb9wn5T8_A8qX3ji/view?usp=drivesdk" TargetMode="External"/><Relationship Id="rId294" Type="http://schemas.openxmlformats.org/officeDocument/2006/relationships/hyperlink" Target="https://drive.google.com/uc?export=view&amp;id=1ETD_QCX-x-GOzcvNCWMEAwiL_5B-7QJB" TargetMode="External"/><Relationship Id="rId299" Type="http://schemas.openxmlformats.org/officeDocument/2006/relationships/hyperlink" Target="https://drive.google.com/file/d/13SeZnokD3cUYWlu843cLJ_27ZaWQBmNj/view?usp=drivesdk" TargetMode="External"/><Relationship Id="rId298" Type="http://schemas.openxmlformats.org/officeDocument/2006/relationships/hyperlink" Target="https://drive.google.com/uc?export=view&amp;id=1ENe1dqk71EfjZ-iKBhOqFmQNa47nrx8B" TargetMode="External"/><Relationship Id="rId271" Type="http://schemas.openxmlformats.org/officeDocument/2006/relationships/hyperlink" Target="https://drive.google.com/file/d/1IbWbTCTHb5lVLFTRSBxrYFqFTJCL4gAc/view?usp=drivesdk" TargetMode="External"/><Relationship Id="rId270" Type="http://schemas.openxmlformats.org/officeDocument/2006/relationships/hyperlink" Target="https://drive.google.com/uc?export=view&amp;id=10a5e7MHMqcT-EO7Xmrf4-SITmrn8r92f" TargetMode="External"/><Relationship Id="rId269" Type="http://schemas.openxmlformats.org/officeDocument/2006/relationships/hyperlink" Target="https://drive.google.com/file/d/10a5e7MHMqcT-EO7Xmrf4-SITmrn8r92f/view?usp=drivesdk" TargetMode="External"/><Relationship Id="rId264" Type="http://schemas.openxmlformats.org/officeDocument/2006/relationships/hyperlink" Target="https://drive.google.com/uc?export=view&amp;id=1SiKhsn_96liQCf-2N6Idy_bE2XZvvNaw" TargetMode="External"/><Relationship Id="rId263" Type="http://schemas.openxmlformats.org/officeDocument/2006/relationships/hyperlink" Target="https://drive.google.com/file/d/1SiKhsn_96liQCf-2N6Idy_bE2XZvvNaw/view?usp=drivesdk" TargetMode="External"/><Relationship Id="rId262" Type="http://schemas.openxmlformats.org/officeDocument/2006/relationships/hyperlink" Target="https://drive.google.com/uc?export=view&amp;id=1UDvMFjdlRarh_F0-aUxsvVETFMGyp258" TargetMode="External"/><Relationship Id="rId261" Type="http://schemas.openxmlformats.org/officeDocument/2006/relationships/hyperlink" Target="https://drive.google.com/file/d/1UDvMFjdlRarh_F0-aUxsvVETFMGyp258/view?usp=drivesdk" TargetMode="External"/><Relationship Id="rId268" Type="http://schemas.openxmlformats.org/officeDocument/2006/relationships/hyperlink" Target="https://drive.google.com/uc?export=view&amp;id=1EaaDxwcgde2GwbuL38w2pjLkNS7OT8W4" TargetMode="External"/><Relationship Id="rId267" Type="http://schemas.openxmlformats.org/officeDocument/2006/relationships/hyperlink" Target="https://drive.google.com/file/d/1EaaDxwcgde2GwbuL38w2pjLkNS7OT8W4/view?usp=drivesdk" TargetMode="External"/><Relationship Id="rId266" Type="http://schemas.openxmlformats.org/officeDocument/2006/relationships/hyperlink" Target="https://drive.google.com/uc?export=view&amp;id=1xJQ6033rXOaJ45kd8g6jHiSR1K3KaOSu" TargetMode="External"/><Relationship Id="rId265" Type="http://schemas.openxmlformats.org/officeDocument/2006/relationships/hyperlink" Target="https://drive.google.com/file/d/1xJQ6033rXOaJ45kd8g6jHiSR1K3KaOSu/view?usp=drivesdk" TargetMode="External"/><Relationship Id="rId260" Type="http://schemas.openxmlformats.org/officeDocument/2006/relationships/hyperlink" Target="https://drive.google.com/uc?export=view&amp;id=1nELz9zrKD-VONm47HMDNILB5SXFY6nZi" TargetMode="External"/><Relationship Id="rId259" Type="http://schemas.openxmlformats.org/officeDocument/2006/relationships/hyperlink" Target="https://drive.google.com/file/d/1nELz9zrKD-VONm47HMDNILB5SXFY6nZi/view?usp=drivesdk" TargetMode="External"/><Relationship Id="rId258" Type="http://schemas.openxmlformats.org/officeDocument/2006/relationships/hyperlink" Target="https://drive.google.com/uc?export=view&amp;id=15vHRUMGa9TWyXRbHoCy1QWtN9zq12iiS" TargetMode="External"/><Relationship Id="rId253" Type="http://schemas.openxmlformats.org/officeDocument/2006/relationships/hyperlink" Target="https://drive.google.com/file/d/1UCu9rpY92InakN8DLkO3ePoluhLhM82X/view?usp=drivesdk" TargetMode="External"/><Relationship Id="rId252" Type="http://schemas.openxmlformats.org/officeDocument/2006/relationships/hyperlink" Target="https://drive.google.com/uc?export=view&amp;id=1QS94KBhIsOclaZ4B_Lq6_6dmLR8SiQ-l" TargetMode="External"/><Relationship Id="rId251" Type="http://schemas.openxmlformats.org/officeDocument/2006/relationships/hyperlink" Target="https://drive.google.com/file/d/1QS94KBhIsOclaZ4B_Lq6_6dmLR8SiQ-l/view?usp=drivesdk" TargetMode="External"/><Relationship Id="rId250" Type="http://schemas.openxmlformats.org/officeDocument/2006/relationships/hyperlink" Target="https://drive.google.com/uc?export=view&amp;id=1FyRYOLeS71zj0l8mJ2aKm4gcyEakowjk" TargetMode="External"/><Relationship Id="rId257" Type="http://schemas.openxmlformats.org/officeDocument/2006/relationships/hyperlink" Target="https://drive.google.com/file/d/15vHRUMGa9TWyXRbHoCy1QWtN9zq12iiS/view?usp=drivesdk" TargetMode="External"/><Relationship Id="rId256" Type="http://schemas.openxmlformats.org/officeDocument/2006/relationships/hyperlink" Target="https://drive.google.com/uc?export=view&amp;id=1XdZAXI6HUEGxINoDpMN_zBTs8LW5PzpR" TargetMode="External"/><Relationship Id="rId255" Type="http://schemas.openxmlformats.org/officeDocument/2006/relationships/hyperlink" Target="https://drive.google.com/file/d/1XdZAXI6HUEGxINoDpMN_zBTs8LW5PzpR/view?usp=drivesdk" TargetMode="External"/><Relationship Id="rId254" Type="http://schemas.openxmlformats.org/officeDocument/2006/relationships/hyperlink" Target="https://drive.google.com/uc?export=view&amp;id=1UCu9rpY92InakN8DLkO3ePoluhLhM82X" TargetMode="External"/><Relationship Id="rId293" Type="http://schemas.openxmlformats.org/officeDocument/2006/relationships/hyperlink" Target="https://drive.google.com/file/d/1ETD_QCX-x-GOzcvNCWMEAwiL_5B-7QJB/view?usp=drivesdk" TargetMode="External"/><Relationship Id="rId292" Type="http://schemas.openxmlformats.org/officeDocument/2006/relationships/hyperlink" Target="https://drive.google.com/uc?export=view&amp;id=12JZPJZ7v_uDvESnQxFpJ5W7nDOXg31KF" TargetMode="External"/><Relationship Id="rId291" Type="http://schemas.openxmlformats.org/officeDocument/2006/relationships/hyperlink" Target="https://drive.google.com/file/d/12JZPJZ7v_uDvESnQxFpJ5W7nDOXg31KF/view?usp=drivesdk" TargetMode="External"/><Relationship Id="rId290" Type="http://schemas.openxmlformats.org/officeDocument/2006/relationships/hyperlink" Target="https://drive.google.com/uc?export=view&amp;id=1uulCnDPgZbH05IYEZnwLymy_OBSqTjvq" TargetMode="External"/><Relationship Id="rId286" Type="http://schemas.openxmlformats.org/officeDocument/2006/relationships/hyperlink" Target="https://drive.google.com/uc?export=view&amp;id=1-X16HcVgrP1l1mAKpF-_ntLUVk5nLL6t" TargetMode="External"/><Relationship Id="rId285" Type="http://schemas.openxmlformats.org/officeDocument/2006/relationships/hyperlink" Target="https://drive.google.com/file/d/1-X16HcVgrP1l1mAKpF-_ntLUVk5nLL6t/view?usp=drivesdk" TargetMode="External"/><Relationship Id="rId284" Type="http://schemas.openxmlformats.org/officeDocument/2006/relationships/hyperlink" Target="https://drive.google.com/uc?export=view&amp;id=1Tp1hN6ZNvW-NhhGsx7eyjSiLXfMoUnTE" TargetMode="External"/><Relationship Id="rId283" Type="http://schemas.openxmlformats.org/officeDocument/2006/relationships/hyperlink" Target="https://drive.google.com/file/d/1Tp1hN6ZNvW-NhhGsx7eyjSiLXfMoUnTE/view?usp=drivesdk" TargetMode="External"/><Relationship Id="rId289" Type="http://schemas.openxmlformats.org/officeDocument/2006/relationships/hyperlink" Target="https://drive.google.com/file/d/1uulCnDPgZbH05IYEZnwLymy_OBSqTjvq/view?usp=drivesdk" TargetMode="External"/><Relationship Id="rId288" Type="http://schemas.openxmlformats.org/officeDocument/2006/relationships/hyperlink" Target="https://drive.google.com/uc?export=view&amp;id=1Ok7Ljf_G2U8Uk13qutHOOSc2EffSH1Bw" TargetMode="External"/><Relationship Id="rId287" Type="http://schemas.openxmlformats.org/officeDocument/2006/relationships/hyperlink" Target="https://drive.google.com/file/d/1Ok7Ljf_G2U8Uk13qutHOOSc2EffSH1Bw/view?usp=drivesdk" TargetMode="External"/><Relationship Id="rId282" Type="http://schemas.openxmlformats.org/officeDocument/2006/relationships/hyperlink" Target="https://drive.google.com/uc?export=view&amp;id=1dtKzypQ89k-Z4yhboLAixisbfFFHEAZd" TargetMode="External"/><Relationship Id="rId281" Type="http://schemas.openxmlformats.org/officeDocument/2006/relationships/hyperlink" Target="https://drive.google.com/file/d/1dtKzypQ89k-Z4yhboLAixisbfFFHEAZd/view?usp=drivesdk" TargetMode="External"/><Relationship Id="rId280" Type="http://schemas.openxmlformats.org/officeDocument/2006/relationships/hyperlink" Target="https://drive.google.com/uc?export=view&amp;id=1BvgWrE_tlABvoExma70eRomcIrKo-nko" TargetMode="External"/><Relationship Id="rId275" Type="http://schemas.openxmlformats.org/officeDocument/2006/relationships/hyperlink" Target="https://drive.google.com/file/d/16R6VtDa0489ZFW4xCmRZxzfPofw8efzt/view?usp=drivesdk" TargetMode="External"/><Relationship Id="rId274" Type="http://schemas.openxmlformats.org/officeDocument/2006/relationships/hyperlink" Target="https://drive.google.com/uc?export=view&amp;id=1BQfTLkzNvW50QfGJZfWogZWLBO5tVsEZ" TargetMode="External"/><Relationship Id="rId273" Type="http://schemas.openxmlformats.org/officeDocument/2006/relationships/hyperlink" Target="https://drive.google.com/file/d/1BQfTLkzNvW50QfGJZfWogZWLBO5tVsEZ/view?usp=drivesdk" TargetMode="External"/><Relationship Id="rId272" Type="http://schemas.openxmlformats.org/officeDocument/2006/relationships/hyperlink" Target="https://drive.google.com/uc?export=view&amp;id=1IbWbTCTHb5lVLFTRSBxrYFqFTJCL4gAc" TargetMode="External"/><Relationship Id="rId279" Type="http://schemas.openxmlformats.org/officeDocument/2006/relationships/hyperlink" Target="https://drive.google.com/file/d/1BvgWrE_tlABvoExma70eRomcIrKo-nko/view?usp=drivesdk" TargetMode="External"/><Relationship Id="rId278" Type="http://schemas.openxmlformats.org/officeDocument/2006/relationships/hyperlink" Target="https://drive.google.com/uc?export=view&amp;id=1c2TJJmODomHeJZYXOhdNhw-qOYMhMC6b" TargetMode="External"/><Relationship Id="rId277" Type="http://schemas.openxmlformats.org/officeDocument/2006/relationships/hyperlink" Target="https://drive.google.com/file/d/1c2TJJmODomHeJZYXOhdNhw-qOYMhMC6b/view?usp=drivesdk" TargetMode="External"/><Relationship Id="rId276" Type="http://schemas.openxmlformats.org/officeDocument/2006/relationships/hyperlink" Target="https://drive.google.com/uc?export=view&amp;id=16R6VtDa0489ZFW4xCmRZxzfPofw8efzt" TargetMode="External"/><Relationship Id="rId1455" Type="http://schemas.openxmlformats.org/officeDocument/2006/relationships/hyperlink" Target="https://drive.google.com/file/d/1A2MezkMGdLMjbvPZRpDE9YgLVFrzo61J/view?usp=drivesdk" TargetMode="External"/><Relationship Id="rId1456" Type="http://schemas.openxmlformats.org/officeDocument/2006/relationships/hyperlink" Target="https://drive.google.com/uc?export=view&amp;id=1A2MezkMGdLMjbvPZRpDE9YgLVFrzo61J" TargetMode="External"/><Relationship Id="rId1457" Type="http://schemas.openxmlformats.org/officeDocument/2006/relationships/hyperlink" Target="https://drive.google.com/file/d/1eIYwNnoAboxe8Lgk09LOnv9RADhIbx2k/view?usp=drivesdk" TargetMode="External"/><Relationship Id="rId1458" Type="http://schemas.openxmlformats.org/officeDocument/2006/relationships/hyperlink" Target="https://drive.google.com/uc?export=view&amp;id=1eIYwNnoAboxe8Lgk09LOnv9RADhIbx2k" TargetMode="External"/><Relationship Id="rId1459" Type="http://schemas.openxmlformats.org/officeDocument/2006/relationships/hyperlink" Target="https://drive.google.com/file/d/128D9drzyTEF8mEaoylRCZgN29EfS4Vs-/view?usp=drivesdk" TargetMode="External"/><Relationship Id="rId629" Type="http://schemas.openxmlformats.org/officeDocument/2006/relationships/hyperlink" Target="https://drive.google.com/file/d/1b1scoCwqwlzqjsWaQkMEAFSz0f51Y8dk/view?usp=drivesdk" TargetMode="External"/><Relationship Id="rId624" Type="http://schemas.openxmlformats.org/officeDocument/2006/relationships/hyperlink" Target="https://drive.google.com/uc?export=view&amp;id=1qCvJe-yawOft6hrAanTMOaPDGS1FeCt7" TargetMode="External"/><Relationship Id="rId623" Type="http://schemas.openxmlformats.org/officeDocument/2006/relationships/hyperlink" Target="https://drive.google.com/file/d/1qCvJe-yawOft6hrAanTMOaPDGS1FeCt7/view?usp=drivesdk" TargetMode="External"/><Relationship Id="rId622" Type="http://schemas.openxmlformats.org/officeDocument/2006/relationships/hyperlink" Target="https://drive.google.com/uc?export=view&amp;id=13sB-aSPZaj1opZbQuXPwzuei7FQlkzEI" TargetMode="External"/><Relationship Id="rId621" Type="http://schemas.openxmlformats.org/officeDocument/2006/relationships/hyperlink" Target="https://drive.google.com/file/d/13sB-aSPZaj1opZbQuXPwzuei7FQlkzEI/view?usp=drivesdk" TargetMode="External"/><Relationship Id="rId628" Type="http://schemas.openxmlformats.org/officeDocument/2006/relationships/hyperlink" Target="https://drive.google.com/uc?export=view&amp;id=1JvqDTPttxuu-XqahkI9ioHCYq_YaCy_e" TargetMode="External"/><Relationship Id="rId627" Type="http://schemas.openxmlformats.org/officeDocument/2006/relationships/hyperlink" Target="https://drive.google.com/file/d/1JvqDTPttxuu-XqahkI9ioHCYq_YaCy_e/view?usp=drivesdk" TargetMode="External"/><Relationship Id="rId626" Type="http://schemas.openxmlformats.org/officeDocument/2006/relationships/hyperlink" Target="https://drive.google.com/uc?export=view&amp;id=1JLxVBC3pGuw9xkkep_LDs07BAzZGnT95" TargetMode="External"/><Relationship Id="rId625" Type="http://schemas.openxmlformats.org/officeDocument/2006/relationships/hyperlink" Target="https://drive.google.com/file/d/1JLxVBC3pGuw9xkkep_LDs07BAzZGnT95/view?usp=drivesdk" TargetMode="External"/><Relationship Id="rId1450" Type="http://schemas.openxmlformats.org/officeDocument/2006/relationships/hyperlink" Target="https://drive.google.com/uc?export=view&amp;id=1yok6oj1fOfTa5LI0tBSBau7yHUrMsfC6" TargetMode="External"/><Relationship Id="rId620" Type="http://schemas.openxmlformats.org/officeDocument/2006/relationships/hyperlink" Target="https://drive.google.com/uc?export=view&amp;id=1ABuTuePnFkxqTqjFhHv5-U5b58RuUDsC" TargetMode="External"/><Relationship Id="rId1451" Type="http://schemas.openxmlformats.org/officeDocument/2006/relationships/hyperlink" Target="https://drive.google.com/file/d/1gF8bLrJ3lB96TbHS6hn3rRs00y2zkZB0/view?usp=drivesdk" TargetMode="External"/><Relationship Id="rId1452" Type="http://schemas.openxmlformats.org/officeDocument/2006/relationships/hyperlink" Target="https://drive.google.com/uc?export=view&amp;id=1gF8bLrJ3lB96TbHS6hn3rRs00y2zkZB0" TargetMode="External"/><Relationship Id="rId1453" Type="http://schemas.openxmlformats.org/officeDocument/2006/relationships/hyperlink" Target="https://drive.google.com/file/d/1j-CHzmMOdYcNO1462hvp2xgNi9R3Zxsn/view?usp=drivesdk" TargetMode="External"/><Relationship Id="rId1454" Type="http://schemas.openxmlformats.org/officeDocument/2006/relationships/hyperlink" Target="https://drive.google.com/uc?export=view&amp;id=1j-CHzmMOdYcNO1462hvp2xgNi9R3Zxsn" TargetMode="External"/><Relationship Id="rId1444" Type="http://schemas.openxmlformats.org/officeDocument/2006/relationships/hyperlink" Target="https://drive.google.com/uc?export=view&amp;id=1u542wKZ1CLB9RTCTyAgNG0tlY9Vgr2gp" TargetMode="External"/><Relationship Id="rId1445" Type="http://schemas.openxmlformats.org/officeDocument/2006/relationships/hyperlink" Target="https://drive.google.com/file/d/1blNkM_HMwGQUzwxwHitEAjkEUHOXCa8L/view?usp=drivesdk" TargetMode="External"/><Relationship Id="rId1446" Type="http://schemas.openxmlformats.org/officeDocument/2006/relationships/hyperlink" Target="https://drive.google.com/uc?export=view&amp;id=1blNkM_HMwGQUzwxwHitEAjkEUHOXCa8L" TargetMode="External"/><Relationship Id="rId1447" Type="http://schemas.openxmlformats.org/officeDocument/2006/relationships/hyperlink" Target="https://drive.google.com/file/d/1Ak3g6CaWnGqvwO8DQ6Ra150hDTutIKse/view?usp=drivesdk" TargetMode="External"/><Relationship Id="rId1448" Type="http://schemas.openxmlformats.org/officeDocument/2006/relationships/hyperlink" Target="https://drive.google.com/uc?export=view&amp;id=1Ak3g6CaWnGqvwO8DQ6Ra150hDTutIKse" TargetMode="External"/><Relationship Id="rId1449" Type="http://schemas.openxmlformats.org/officeDocument/2006/relationships/hyperlink" Target="https://drive.google.com/file/d/1yok6oj1fOfTa5LI0tBSBau7yHUrMsfC6/view?usp=drivesdk" TargetMode="External"/><Relationship Id="rId619" Type="http://schemas.openxmlformats.org/officeDocument/2006/relationships/hyperlink" Target="https://drive.google.com/file/d/1ABuTuePnFkxqTqjFhHv5-U5b58RuUDsC/view?usp=drivesdk" TargetMode="External"/><Relationship Id="rId618" Type="http://schemas.openxmlformats.org/officeDocument/2006/relationships/hyperlink" Target="https://drive.google.com/uc?export=view&amp;id=1ctRCzlT1yksYR4d3I7xwWh1HCAlQA__Y" TargetMode="External"/><Relationship Id="rId613" Type="http://schemas.openxmlformats.org/officeDocument/2006/relationships/hyperlink" Target="https://drive.google.com/file/d/16UdKB-O5YsHovIYPoHxmVrqekaAcm3Ic/view?usp=drivesdk" TargetMode="External"/><Relationship Id="rId612" Type="http://schemas.openxmlformats.org/officeDocument/2006/relationships/hyperlink" Target="https://drive.google.com/uc?export=view&amp;id=1gsCR93M4y67MQxIGtyOTSLSVcyY9cK-Y" TargetMode="External"/><Relationship Id="rId611" Type="http://schemas.openxmlformats.org/officeDocument/2006/relationships/hyperlink" Target="https://drive.google.com/file/d/1gsCR93M4y67MQxIGtyOTSLSVcyY9cK-Y/view?usp=drivesdk" TargetMode="External"/><Relationship Id="rId610" Type="http://schemas.openxmlformats.org/officeDocument/2006/relationships/hyperlink" Target="https://drive.google.com/uc?export=view&amp;id=1Xi6a_fqvrvDqOtuq6Pjb-6KnLeZVA9F5" TargetMode="External"/><Relationship Id="rId617" Type="http://schemas.openxmlformats.org/officeDocument/2006/relationships/hyperlink" Target="https://drive.google.com/file/d/1ctRCzlT1yksYR4d3I7xwWh1HCAlQA__Y/view?usp=drivesdk" TargetMode="External"/><Relationship Id="rId616" Type="http://schemas.openxmlformats.org/officeDocument/2006/relationships/hyperlink" Target="https://drive.google.com/uc?export=view&amp;id=1QICv_RgN90ctklZ2MF1EJgIDepxnG8q9" TargetMode="External"/><Relationship Id="rId615" Type="http://schemas.openxmlformats.org/officeDocument/2006/relationships/hyperlink" Target="https://drive.google.com/file/d/1QICv_RgN90ctklZ2MF1EJgIDepxnG8q9/view?usp=drivesdk" TargetMode="External"/><Relationship Id="rId614" Type="http://schemas.openxmlformats.org/officeDocument/2006/relationships/hyperlink" Target="https://drive.google.com/uc?export=view&amp;id=16UdKB-O5YsHovIYPoHxmVrqekaAcm3Ic" TargetMode="External"/><Relationship Id="rId1440" Type="http://schemas.openxmlformats.org/officeDocument/2006/relationships/hyperlink" Target="https://drive.google.com/uc?export=view&amp;id=1XbKCneX8Xce6kpub-tsGlKUw4B8wQXKH" TargetMode="External"/><Relationship Id="rId1441" Type="http://schemas.openxmlformats.org/officeDocument/2006/relationships/hyperlink" Target="https://drive.google.com/file/d/1gTBKGTrjpeO7JUW8dXRLrZECWaNdG5B7/view?usp=drivesdk" TargetMode="External"/><Relationship Id="rId1442" Type="http://schemas.openxmlformats.org/officeDocument/2006/relationships/hyperlink" Target="https://drive.google.com/uc?export=view&amp;id=1gTBKGTrjpeO7JUW8dXRLrZECWaNdG5B7" TargetMode="External"/><Relationship Id="rId1443" Type="http://schemas.openxmlformats.org/officeDocument/2006/relationships/hyperlink" Target="https://drive.google.com/file/d/1u542wKZ1CLB9RTCTyAgNG0tlY9Vgr2gp/view?usp=drivesdk" TargetMode="External"/><Relationship Id="rId1477" Type="http://schemas.openxmlformats.org/officeDocument/2006/relationships/hyperlink" Target="https://drive.google.com/file/d/1ckPBu94mTSvtwZVItN_IlO8bQWMCqytV/view?usp=drivesdk" TargetMode="External"/><Relationship Id="rId1478" Type="http://schemas.openxmlformats.org/officeDocument/2006/relationships/hyperlink" Target="https://drive.google.com/uc?export=view&amp;id=1ckPBu94mTSvtwZVItN_IlO8bQWMCqytV" TargetMode="External"/><Relationship Id="rId1479" Type="http://schemas.openxmlformats.org/officeDocument/2006/relationships/hyperlink" Target="https://drive.google.com/file/d/1If5OfucosV6q0gJiJWgal_EBYyRo52CO/view?usp=drivesdk" TargetMode="External"/><Relationship Id="rId646" Type="http://schemas.openxmlformats.org/officeDocument/2006/relationships/hyperlink" Target="https://drive.google.com/uc?export=view&amp;id=12-Q2ofpS0A_lnOeVc-YakL-ikKlGxhTq" TargetMode="External"/><Relationship Id="rId645" Type="http://schemas.openxmlformats.org/officeDocument/2006/relationships/hyperlink" Target="https://drive.google.com/file/d/12-Q2ofpS0A_lnOeVc-YakL-ikKlGxhTq/view?usp=drivesdk" TargetMode="External"/><Relationship Id="rId644" Type="http://schemas.openxmlformats.org/officeDocument/2006/relationships/hyperlink" Target="https://drive.google.com/uc?export=view&amp;id=1L504IVZeSHJ3oht3phYJlt7vTloc0cYr" TargetMode="External"/><Relationship Id="rId643" Type="http://schemas.openxmlformats.org/officeDocument/2006/relationships/hyperlink" Target="https://drive.google.com/file/d/1L504IVZeSHJ3oht3phYJlt7vTloc0cYr/view?usp=drivesdk" TargetMode="External"/><Relationship Id="rId649" Type="http://schemas.openxmlformats.org/officeDocument/2006/relationships/hyperlink" Target="https://drive.google.com/file/d/11IejIAgsM2OTax1PGBrQleilIs-3tqML/view?usp=drivesdk" TargetMode="External"/><Relationship Id="rId648" Type="http://schemas.openxmlformats.org/officeDocument/2006/relationships/hyperlink" Target="https://drive.google.com/uc?export=view&amp;id=1wi9NU8jCVZeXiq34-9mtm0p2h506lZAY" TargetMode="External"/><Relationship Id="rId647" Type="http://schemas.openxmlformats.org/officeDocument/2006/relationships/hyperlink" Target="https://drive.google.com/file/d/1wi9NU8jCVZeXiq34-9mtm0p2h506lZAY/view?usp=drivesdk" TargetMode="External"/><Relationship Id="rId1470" Type="http://schemas.openxmlformats.org/officeDocument/2006/relationships/hyperlink" Target="https://drive.google.com/uc?export=view&amp;id=1Vg_818s0xfs8wnPq2nRH7GQ8-WzXhFQX" TargetMode="External"/><Relationship Id="rId1471" Type="http://schemas.openxmlformats.org/officeDocument/2006/relationships/hyperlink" Target="https://drive.google.com/file/d/1q72GG3gcaEQU-AzdfGvdZjzcDCLIw8SH/view?usp=drivesdk" TargetMode="External"/><Relationship Id="rId1472" Type="http://schemas.openxmlformats.org/officeDocument/2006/relationships/hyperlink" Target="https://drive.google.com/uc?export=view&amp;id=1q72GG3gcaEQU-AzdfGvdZjzcDCLIw8SH" TargetMode="External"/><Relationship Id="rId642" Type="http://schemas.openxmlformats.org/officeDocument/2006/relationships/hyperlink" Target="https://drive.google.com/uc?export=view&amp;id=16PZBm1mOZGrVlAqd6HSxVgSx4kgkHZj3" TargetMode="External"/><Relationship Id="rId1473" Type="http://schemas.openxmlformats.org/officeDocument/2006/relationships/hyperlink" Target="https://drive.google.com/file/d/1TQQgS379lj7FfnxjVnwe-YTs2HRnBleh/view?usp=drivesdk" TargetMode="External"/><Relationship Id="rId641" Type="http://schemas.openxmlformats.org/officeDocument/2006/relationships/hyperlink" Target="https://drive.google.com/file/d/16PZBm1mOZGrVlAqd6HSxVgSx4kgkHZj3/view?usp=drivesdk" TargetMode="External"/><Relationship Id="rId1474" Type="http://schemas.openxmlformats.org/officeDocument/2006/relationships/hyperlink" Target="https://drive.google.com/uc?export=view&amp;id=1TQQgS379lj7FfnxjVnwe-YTs2HRnBleh" TargetMode="External"/><Relationship Id="rId640" Type="http://schemas.openxmlformats.org/officeDocument/2006/relationships/hyperlink" Target="https://drive.google.com/uc?export=view&amp;id=10GvJq-OG1CwL1dHSSEIUVShhX_U2_5sg" TargetMode="External"/><Relationship Id="rId1475" Type="http://schemas.openxmlformats.org/officeDocument/2006/relationships/hyperlink" Target="https://drive.google.com/file/d/1yBW4WV7kR1nE6yGukOfb0mQbDt2vNzGt/view?usp=drivesdk" TargetMode="External"/><Relationship Id="rId1476" Type="http://schemas.openxmlformats.org/officeDocument/2006/relationships/hyperlink" Target="https://drive.google.com/uc?export=view&amp;id=1yBW4WV7kR1nE6yGukOfb0mQbDt2vNzGt" TargetMode="External"/><Relationship Id="rId1466" Type="http://schemas.openxmlformats.org/officeDocument/2006/relationships/hyperlink" Target="https://drive.google.com/uc?export=view&amp;id=1CJjSz_iAMUV14yIXAAtTsr_zKb4tNixV" TargetMode="External"/><Relationship Id="rId1467" Type="http://schemas.openxmlformats.org/officeDocument/2006/relationships/hyperlink" Target="https://drive.google.com/file/d/1HRVqihH8yLr7UDrVufRQWOeci5OyRTAa/view?usp=drivesdk" TargetMode="External"/><Relationship Id="rId1468" Type="http://schemas.openxmlformats.org/officeDocument/2006/relationships/hyperlink" Target="https://drive.google.com/uc?export=view&amp;id=1HRVqihH8yLr7UDrVufRQWOeci5OyRTAa" TargetMode="External"/><Relationship Id="rId1469" Type="http://schemas.openxmlformats.org/officeDocument/2006/relationships/hyperlink" Target="https://drive.google.com/file/d/1Vg_818s0xfs8wnPq2nRH7GQ8-WzXhFQX/view?usp=drivesdk" TargetMode="External"/><Relationship Id="rId635" Type="http://schemas.openxmlformats.org/officeDocument/2006/relationships/hyperlink" Target="https://drive.google.com/file/d/1pU7sp9L9-AGVDp4wFiFrLnvacjUIJj_f/view?usp=drivesdk" TargetMode="External"/><Relationship Id="rId634" Type="http://schemas.openxmlformats.org/officeDocument/2006/relationships/hyperlink" Target="https://drive.google.com/uc?export=view&amp;id=1vl6YSR2F3Xchvrfcs0mzFbbl7pkGqI_3" TargetMode="External"/><Relationship Id="rId633" Type="http://schemas.openxmlformats.org/officeDocument/2006/relationships/hyperlink" Target="https://drive.google.com/file/d/1vl6YSR2F3Xchvrfcs0mzFbbl7pkGqI_3/view?usp=drivesdk" TargetMode="External"/><Relationship Id="rId632" Type="http://schemas.openxmlformats.org/officeDocument/2006/relationships/hyperlink" Target="https://drive.google.com/uc?export=view&amp;id=1dcbU3CSFKGah0lr3LriFY8DCHjCN7Gd3" TargetMode="External"/><Relationship Id="rId639" Type="http://schemas.openxmlformats.org/officeDocument/2006/relationships/hyperlink" Target="https://drive.google.com/file/d/10GvJq-OG1CwL1dHSSEIUVShhX_U2_5sg/view?usp=drivesdk" TargetMode="External"/><Relationship Id="rId638" Type="http://schemas.openxmlformats.org/officeDocument/2006/relationships/hyperlink" Target="https://drive.google.com/uc?export=view&amp;id=1x8UBJLHzPYBptwDNZnFilWbLG8Zr9cdl" TargetMode="External"/><Relationship Id="rId637" Type="http://schemas.openxmlformats.org/officeDocument/2006/relationships/hyperlink" Target="https://drive.google.com/file/d/1x8UBJLHzPYBptwDNZnFilWbLG8Zr9cdl/view?usp=drivesdk" TargetMode="External"/><Relationship Id="rId636" Type="http://schemas.openxmlformats.org/officeDocument/2006/relationships/hyperlink" Target="https://drive.google.com/uc?export=view&amp;id=1pU7sp9L9-AGVDp4wFiFrLnvacjUIJj_f" TargetMode="External"/><Relationship Id="rId1460" Type="http://schemas.openxmlformats.org/officeDocument/2006/relationships/hyperlink" Target="https://drive.google.com/uc?export=view&amp;id=128D9drzyTEF8mEaoylRCZgN29EfS4Vs-" TargetMode="External"/><Relationship Id="rId1461" Type="http://schemas.openxmlformats.org/officeDocument/2006/relationships/hyperlink" Target="https://drive.google.com/file/d/13km__bdqf5N9XNpyB9N-2Jl4156go5W9/view?usp=drivesdk" TargetMode="External"/><Relationship Id="rId631" Type="http://schemas.openxmlformats.org/officeDocument/2006/relationships/hyperlink" Target="https://drive.google.com/file/d/1dcbU3CSFKGah0lr3LriFY8DCHjCN7Gd3/view?usp=drivesdk" TargetMode="External"/><Relationship Id="rId1462" Type="http://schemas.openxmlformats.org/officeDocument/2006/relationships/hyperlink" Target="https://drive.google.com/uc?export=view&amp;id=13km__bdqf5N9XNpyB9N-2Jl4156go5W9" TargetMode="External"/><Relationship Id="rId630" Type="http://schemas.openxmlformats.org/officeDocument/2006/relationships/hyperlink" Target="https://drive.google.com/uc?export=view&amp;id=1b1scoCwqwlzqjsWaQkMEAFSz0f51Y8dk" TargetMode="External"/><Relationship Id="rId1463" Type="http://schemas.openxmlformats.org/officeDocument/2006/relationships/hyperlink" Target="https://drive.google.com/file/d/1xei0-LDHz8JS7QySLKtEWMcScrCrrVpn/view?usp=drivesdk" TargetMode="External"/><Relationship Id="rId1464" Type="http://schemas.openxmlformats.org/officeDocument/2006/relationships/hyperlink" Target="https://drive.google.com/uc?export=view&amp;id=1xei0-LDHz8JS7QySLKtEWMcScrCrrVpn" TargetMode="External"/><Relationship Id="rId1465" Type="http://schemas.openxmlformats.org/officeDocument/2006/relationships/hyperlink" Target="https://drive.google.com/file/d/1CJjSz_iAMUV14yIXAAtTsr_zKb4tNixV/view?usp=drivesdk" TargetMode="External"/><Relationship Id="rId1411" Type="http://schemas.openxmlformats.org/officeDocument/2006/relationships/hyperlink" Target="https://drive.google.com/file/d/1hBxTFzcb3u5j8XhkF7oug3lnW-Mt7Wb_/view?usp=drivesdk" TargetMode="External"/><Relationship Id="rId1412" Type="http://schemas.openxmlformats.org/officeDocument/2006/relationships/hyperlink" Target="https://drive.google.com/uc?export=view&amp;id=1hBxTFzcb3u5j8XhkF7oug3lnW-Mt7Wb_" TargetMode="External"/><Relationship Id="rId1413" Type="http://schemas.openxmlformats.org/officeDocument/2006/relationships/hyperlink" Target="https://drive.google.com/file/d/17Yq-tJtfXBxhpjRNgP_aL-aOc0AeVcov/view?usp=drivesdk" TargetMode="External"/><Relationship Id="rId1414" Type="http://schemas.openxmlformats.org/officeDocument/2006/relationships/hyperlink" Target="https://drive.google.com/uc?export=view&amp;id=17Yq-tJtfXBxhpjRNgP_aL-aOc0AeVcov" TargetMode="External"/><Relationship Id="rId1415" Type="http://schemas.openxmlformats.org/officeDocument/2006/relationships/hyperlink" Target="https://drive.google.com/file/d/1XGe5FiBGuGpKEBzIBCvEAxUXrft_dHSY/view?usp=drivesdk" TargetMode="External"/><Relationship Id="rId1416" Type="http://schemas.openxmlformats.org/officeDocument/2006/relationships/hyperlink" Target="https://drive.google.com/uc?export=view&amp;id=1XGe5FiBGuGpKEBzIBCvEAxUXrft_dHSY" TargetMode="External"/><Relationship Id="rId1417" Type="http://schemas.openxmlformats.org/officeDocument/2006/relationships/hyperlink" Target="https://drive.google.com/file/d/1T7wFp9Xwr7M6rhN_LXekN9dzmB4zctY2/view?usp=drivesdk" TargetMode="External"/><Relationship Id="rId1418" Type="http://schemas.openxmlformats.org/officeDocument/2006/relationships/hyperlink" Target="https://drive.google.com/uc?export=view&amp;id=1T7wFp9Xwr7M6rhN_LXekN9dzmB4zctY2" TargetMode="External"/><Relationship Id="rId1419" Type="http://schemas.openxmlformats.org/officeDocument/2006/relationships/hyperlink" Target="https://drive.google.com/file/d/1Y14j-oO2UnaZ6SePw2IKe6QCTp9UtHXl/view?usp=drivesdk" TargetMode="External"/><Relationship Id="rId1410" Type="http://schemas.openxmlformats.org/officeDocument/2006/relationships/hyperlink" Target="https://drive.google.com/uc?export=view&amp;id=1ZQAObjZx08mf3KrwZ67QEcUwOxMNjqo8" TargetMode="External"/><Relationship Id="rId1400" Type="http://schemas.openxmlformats.org/officeDocument/2006/relationships/hyperlink" Target="https://drive.google.com/uc?export=view&amp;id=10I0PEndo3WYtAkA3IKTOKAjxF1WzJ5tO" TargetMode="External"/><Relationship Id="rId1401" Type="http://schemas.openxmlformats.org/officeDocument/2006/relationships/hyperlink" Target="https://drive.google.com/file/d/1PbK-s-bC5ZsnWvG9fnK4snI8WPG7xNQv/view?usp=drivesdk" TargetMode="External"/><Relationship Id="rId1402" Type="http://schemas.openxmlformats.org/officeDocument/2006/relationships/hyperlink" Target="https://drive.google.com/uc?export=view&amp;id=1PbK-s-bC5ZsnWvG9fnK4snI8WPG7xNQv" TargetMode="External"/><Relationship Id="rId1403" Type="http://schemas.openxmlformats.org/officeDocument/2006/relationships/hyperlink" Target="https://drive.google.com/file/d/1aAW9HM4Jml0-QnjSR0Z6DCYSxp-KCN6U/view?usp=drivesdk" TargetMode="External"/><Relationship Id="rId1404" Type="http://schemas.openxmlformats.org/officeDocument/2006/relationships/hyperlink" Target="https://drive.google.com/uc?export=view&amp;id=1aAW9HM4Jml0-QnjSR0Z6DCYSxp-KCN6U" TargetMode="External"/><Relationship Id="rId1405" Type="http://schemas.openxmlformats.org/officeDocument/2006/relationships/hyperlink" Target="https://drive.google.com/file/d/1qom8Gdft_6xHxYSWlFH6WsRwlaUen1jt/view?usp=drivesdk" TargetMode="External"/><Relationship Id="rId1406" Type="http://schemas.openxmlformats.org/officeDocument/2006/relationships/hyperlink" Target="https://drive.google.com/uc?export=view&amp;id=1qom8Gdft_6xHxYSWlFH6WsRwlaUen1jt" TargetMode="External"/><Relationship Id="rId1407" Type="http://schemas.openxmlformats.org/officeDocument/2006/relationships/hyperlink" Target="https://drive.google.com/file/d/19U5vjAdKaulZjfn_PyU1GUgyMbzfYcSx/view?usp=drivesdk" TargetMode="External"/><Relationship Id="rId1408" Type="http://schemas.openxmlformats.org/officeDocument/2006/relationships/hyperlink" Target="https://drive.google.com/uc?export=view&amp;id=19U5vjAdKaulZjfn_PyU1GUgyMbzfYcSx" TargetMode="External"/><Relationship Id="rId1409" Type="http://schemas.openxmlformats.org/officeDocument/2006/relationships/hyperlink" Target="https://drive.google.com/file/d/1ZQAObjZx08mf3KrwZ67QEcUwOxMNjqo8/view?usp=drivesdk" TargetMode="External"/><Relationship Id="rId1433" Type="http://schemas.openxmlformats.org/officeDocument/2006/relationships/hyperlink" Target="https://drive.google.com/file/d/1zJX7BVp51vrL_MbbvzHTvu5gorAUM57r/view?usp=drivesdk" TargetMode="External"/><Relationship Id="rId1434" Type="http://schemas.openxmlformats.org/officeDocument/2006/relationships/hyperlink" Target="https://drive.google.com/uc?export=view&amp;id=1zJX7BVp51vrL_MbbvzHTvu5gorAUM57r" TargetMode="External"/><Relationship Id="rId1435" Type="http://schemas.openxmlformats.org/officeDocument/2006/relationships/hyperlink" Target="https://drive.google.com/file/d/1kxkWO51JQslSddbpDG9lIUY1ENn5Eec8/view?usp=drivesdk" TargetMode="External"/><Relationship Id="rId1436" Type="http://schemas.openxmlformats.org/officeDocument/2006/relationships/hyperlink" Target="https://drive.google.com/uc?export=view&amp;id=1kxkWO51JQslSddbpDG9lIUY1ENn5Eec8" TargetMode="External"/><Relationship Id="rId1437" Type="http://schemas.openxmlformats.org/officeDocument/2006/relationships/hyperlink" Target="https://drive.google.com/file/d/1bqDLswUZ9_sRU_9LuSLJ9VKw2oCtddce/view?usp=drivesdk" TargetMode="External"/><Relationship Id="rId1438" Type="http://schemas.openxmlformats.org/officeDocument/2006/relationships/hyperlink" Target="https://drive.google.com/uc?export=view&amp;id=1bqDLswUZ9_sRU_9LuSLJ9VKw2oCtddce" TargetMode="External"/><Relationship Id="rId1439" Type="http://schemas.openxmlformats.org/officeDocument/2006/relationships/hyperlink" Target="https://drive.google.com/file/d/1XbKCneX8Xce6kpub-tsGlKUw4B8wQXKH/view?usp=drivesdk" TargetMode="External"/><Relationship Id="rId609" Type="http://schemas.openxmlformats.org/officeDocument/2006/relationships/hyperlink" Target="https://drive.google.com/file/d/1Xi6a_fqvrvDqOtuq6Pjb-6KnLeZVA9F5/view?usp=drivesdk" TargetMode="External"/><Relationship Id="rId608" Type="http://schemas.openxmlformats.org/officeDocument/2006/relationships/hyperlink" Target="https://drive.google.com/uc?export=view&amp;id=1My94QGCKFu82n5Xr2wFgWygSIDRJbfZ-" TargetMode="External"/><Relationship Id="rId607" Type="http://schemas.openxmlformats.org/officeDocument/2006/relationships/hyperlink" Target="https://drive.google.com/file/d/1My94QGCKFu82n5Xr2wFgWygSIDRJbfZ-/view?usp=drivesdk" TargetMode="External"/><Relationship Id="rId602" Type="http://schemas.openxmlformats.org/officeDocument/2006/relationships/hyperlink" Target="https://drive.google.com/uc?export=view&amp;id=1BmRwRXbyxjdQFdp16ACoCw5i5iCK3KDD" TargetMode="External"/><Relationship Id="rId601" Type="http://schemas.openxmlformats.org/officeDocument/2006/relationships/hyperlink" Target="https://drive.google.com/file/d/1BmRwRXbyxjdQFdp16ACoCw5i5iCK3KDD/view?usp=drivesdk" TargetMode="External"/><Relationship Id="rId600" Type="http://schemas.openxmlformats.org/officeDocument/2006/relationships/hyperlink" Target="https://drive.google.com/uc?export=view&amp;id=1Op0GeSgkEWp1IBl2yXVd3WC__GfPwJy7" TargetMode="External"/><Relationship Id="rId606" Type="http://schemas.openxmlformats.org/officeDocument/2006/relationships/hyperlink" Target="https://drive.google.com/uc?export=view&amp;id=1TLfl0zSHsGAqd2OnNy5MtDI9ISQqkQfZ" TargetMode="External"/><Relationship Id="rId605" Type="http://schemas.openxmlformats.org/officeDocument/2006/relationships/hyperlink" Target="https://drive.google.com/file/d/1TLfl0zSHsGAqd2OnNy5MtDI9ISQqkQfZ/view?usp=drivesdk" TargetMode="External"/><Relationship Id="rId604" Type="http://schemas.openxmlformats.org/officeDocument/2006/relationships/hyperlink" Target="https://drive.google.com/uc?export=view&amp;id=1FY9SVbUFGWGmI7LXTicKA36qSx2XLr5d" TargetMode="External"/><Relationship Id="rId603" Type="http://schemas.openxmlformats.org/officeDocument/2006/relationships/hyperlink" Target="https://drive.google.com/file/d/1FY9SVbUFGWGmI7LXTicKA36qSx2XLr5d/view?usp=drivesdk" TargetMode="External"/><Relationship Id="rId1430" Type="http://schemas.openxmlformats.org/officeDocument/2006/relationships/hyperlink" Target="https://drive.google.com/uc?export=view&amp;id=15EFTE5JVpR7svXJoiO02Zd6FWRMFYe-_" TargetMode="External"/><Relationship Id="rId1431" Type="http://schemas.openxmlformats.org/officeDocument/2006/relationships/hyperlink" Target="https://drive.google.com/file/d/1JTIq_82yL8nkxiaID8HEMLayEruAeoQd/view?usp=drivesdk" TargetMode="External"/><Relationship Id="rId1432" Type="http://schemas.openxmlformats.org/officeDocument/2006/relationships/hyperlink" Target="https://drive.google.com/uc?export=view&amp;id=1JTIq_82yL8nkxiaID8HEMLayEruAeoQd" TargetMode="External"/><Relationship Id="rId1422" Type="http://schemas.openxmlformats.org/officeDocument/2006/relationships/hyperlink" Target="https://drive.google.com/uc?export=view&amp;id=16Np5zjexCIO55PkW8wOnU74Lw0_IW6rI" TargetMode="External"/><Relationship Id="rId1423" Type="http://schemas.openxmlformats.org/officeDocument/2006/relationships/hyperlink" Target="https://drive.google.com/file/d/1LUwMbKaBL0df1lsy-QtlcNNHadH4pPnw/view?usp=drivesdk" TargetMode="External"/><Relationship Id="rId1424" Type="http://schemas.openxmlformats.org/officeDocument/2006/relationships/hyperlink" Target="https://drive.google.com/uc?export=view&amp;id=1LUwMbKaBL0df1lsy-QtlcNNHadH4pPnw" TargetMode="External"/><Relationship Id="rId1425" Type="http://schemas.openxmlformats.org/officeDocument/2006/relationships/hyperlink" Target="https://drive.google.com/file/d/1INfNpj_BCTuntGmQaOSe8vc8mXkbUMIm/view?usp=drivesdk" TargetMode="External"/><Relationship Id="rId1426" Type="http://schemas.openxmlformats.org/officeDocument/2006/relationships/hyperlink" Target="https://drive.google.com/uc?export=view&amp;id=1INfNpj_BCTuntGmQaOSe8vc8mXkbUMIm" TargetMode="External"/><Relationship Id="rId1427" Type="http://schemas.openxmlformats.org/officeDocument/2006/relationships/hyperlink" Target="https://drive.google.com/file/d/1CyQvOEyRWhM9MCiuTSxdh7gHqu0ksY3S/view?usp=drivesdk" TargetMode="External"/><Relationship Id="rId1428" Type="http://schemas.openxmlformats.org/officeDocument/2006/relationships/hyperlink" Target="https://drive.google.com/uc?export=view&amp;id=1CyQvOEyRWhM9MCiuTSxdh7gHqu0ksY3S" TargetMode="External"/><Relationship Id="rId1429" Type="http://schemas.openxmlformats.org/officeDocument/2006/relationships/hyperlink" Target="https://drive.google.com/file/d/15EFTE5JVpR7svXJoiO02Zd6FWRMFYe-_/view?usp=drivesdk" TargetMode="External"/><Relationship Id="rId1420" Type="http://schemas.openxmlformats.org/officeDocument/2006/relationships/hyperlink" Target="https://drive.google.com/uc?export=view&amp;id=1Y14j-oO2UnaZ6SePw2IKe6QCTp9UtHXl" TargetMode="External"/><Relationship Id="rId1421" Type="http://schemas.openxmlformats.org/officeDocument/2006/relationships/hyperlink" Target="https://drive.google.com/file/d/16Np5zjexCIO55PkW8wOnU74Lw0_IW6rI/view?usp=drivesdk" TargetMode="External"/><Relationship Id="rId1059" Type="http://schemas.openxmlformats.org/officeDocument/2006/relationships/hyperlink" Target="https://drive.google.com/file/d/1U9vUN8C1rsf1vafplzNIIXLOaL3BAOaC/view?usp=drivesdk" TargetMode="External"/><Relationship Id="rId228" Type="http://schemas.openxmlformats.org/officeDocument/2006/relationships/hyperlink" Target="https://drive.google.com/uc?export=view&amp;id=1MkxHzttBSogPmhWwZ2gsY8xuqOOhLPcT" TargetMode="External"/><Relationship Id="rId227" Type="http://schemas.openxmlformats.org/officeDocument/2006/relationships/hyperlink" Target="https://drive.google.com/file/d/1MkxHzttBSogPmhWwZ2gsY8xuqOOhLPcT/view?usp=drivesdk" TargetMode="External"/><Relationship Id="rId226" Type="http://schemas.openxmlformats.org/officeDocument/2006/relationships/hyperlink" Target="https://drive.google.com/uc?export=view&amp;id=1Xvh-dkemVtMwEypjPjGAk04B3ECuV66-" TargetMode="External"/><Relationship Id="rId225" Type="http://schemas.openxmlformats.org/officeDocument/2006/relationships/hyperlink" Target="https://drive.google.com/file/d/1Xvh-dkemVtMwEypjPjGAk04B3ECuV66-/view?usp=drivesdk" TargetMode="External"/><Relationship Id="rId229" Type="http://schemas.openxmlformats.org/officeDocument/2006/relationships/hyperlink" Target="https://drive.google.com/file/d/1jkk_i4rJpKfgLzrEJO-HAP-QfWAut0ku/view?usp=drivesdk" TargetMode="External"/><Relationship Id="rId1050" Type="http://schemas.openxmlformats.org/officeDocument/2006/relationships/hyperlink" Target="https://drive.google.com/uc?export=view&amp;id=18M5raQVObbocirgliP2le1q24w2c3jZU" TargetMode="External"/><Relationship Id="rId220" Type="http://schemas.openxmlformats.org/officeDocument/2006/relationships/hyperlink" Target="https://drive.google.com/uc?export=view&amp;id=1fCP7ed86NksYW89Aaod3xP8Mqm6x-YEQ" TargetMode="External"/><Relationship Id="rId1051" Type="http://schemas.openxmlformats.org/officeDocument/2006/relationships/hyperlink" Target="https://drive.google.com/file/d/10ZYCD4_mHO0NYuPk_IKcghPMgLzB884r/view?usp=drivesdk" TargetMode="External"/><Relationship Id="rId1052" Type="http://schemas.openxmlformats.org/officeDocument/2006/relationships/hyperlink" Target="https://drive.google.com/uc?export=view&amp;id=10ZYCD4_mHO0NYuPk_IKcghPMgLzB884r" TargetMode="External"/><Relationship Id="rId1053" Type="http://schemas.openxmlformats.org/officeDocument/2006/relationships/hyperlink" Target="https://drive.google.com/file/d/1Gnt50sjfFxQQbqryMcZ34XYsPN2d3izH/view?usp=drivesdk" TargetMode="External"/><Relationship Id="rId1054" Type="http://schemas.openxmlformats.org/officeDocument/2006/relationships/hyperlink" Target="https://drive.google.com/uc?export=view&amp;id=1Gnt50sjfFxQQbqryMcZ34XYsPN2d3izH" TargetMode="External"/><Relationship Id="rId224" Type="http://schemas.openxmlformats.org/officeDocument/2006/relationships/hyperlink" Target="https://drive.google.com/uc?export=view&amp;id=1BupralgPAsodhy9BIo2L19HbQn44gy_6" TargetMode="External"/><Relationship Id="rId1055" Type="http://schemas.openxmlformats.org/officeDocument/2006/relationships/hyperlink" Target="https://drive.google.com/file/d/12DNFcXqjG_lqq5aF49QuN79sWSQddTIz/view?usp=drivesdk" TargetMode="External"/><Relationship Id="rId223" Type="http://schemas.openxmlformats.org/officeDocument/2006/relationships/hyperlink" Target="https://drive.google.com/file/d/1BupralgPAsodhy9BIo2L19HbQn44gy_6/view?usp=drivesdk" TargetMode="External"/><Relationship Id="rId1056" Type="http://schemas.openxmlformats.org/officeDocument/2006/relationships/hyperlink" Target="https://drive.google.com/uc?export=view&amp;id=12DNFcXqjG_lqq5aF49QuN79sWSQddTIz" TargetMode="External"/><Relationship Id="rId222" Type="http://schemas.openxmlformats.org/officeDocument/2006/relationships/hyperlink" Target="https://drive.google.com/uc?export=view&amp;id=1-PHcn-4lDltgluFooCHcEKIHODRrNz-n" TargetMode="External"/><Relationship Id="rId1057" Type="http://schemas.openxmlformats.org/officeDocument/2006/relationships/hyperlink" Target="https://drive.google.com/file/d/1IL39a-GuL_gbuXki_0te9pXkCyQilu5e/view?usp=drivesdk" TargetMode="External"/><Relationship Id="rId221" Type="http://schemas.openxmlformats.org/officeDocument/2006/relationships/hyperlink" Target="https://drive.google.com/file/d/1-PHcn-4lDltgluFooCHcEKIHODRrNz-n/view?usp=drivesdk" TargetMode="External"/><Relationship Id="rId1058" Type="http://schemas.openxmlformats.org/officeDocument/2006/relationships/hyperlink" Target="https://drive.google.com/uc?export=view&amp;id=1IL39a-GuL_gbuXki_0te9pXkCyQilu5e" TargetMode="External"/><Relationship Id="rId1048" Type="http://schemas.openxmlformats.org/officeDocument/2006/relationships/hyperlink" Target="https://drive.google.com/uc?export=view&amp;id=1F6IBxy55RqjziMnNgdAoqCDUH2TVgwkX" TargetMode="External"/><Relationship Id="rId1049" Type="http://schemas.openxmlformats.org/officeDocument/2006/relationships/hyperlink" Target="https://drive.google.com/file/d/18M5raQVObbocirgliP2le1q24w2c3jZU/view?usp=drivesdk" TargetMode="External"/><Relationship Id="rId217" Type="http://schemas.openxmlformats.org/officeDocument/2006/relationships/hyperlink" Target="https://drive.google.com/file/d/1Q5lHbNp5VvtjlL_CJSko4kU5VQd6BQyk/view?usp=drivesdk" TargetMode="External"/><Relationship Id="rId216" Type="http://schemas.openxmlformats.org/officeDocument/2006/relationships/hyperlink" Target="https://drive.google.com/uc?export=view&amp;id=1vvInCtw174TbSwqXWMGGWgM-tpheRIhI" TargetMode="External"/><Relationship Id="rId215" Type="http://schemas.openxmlformats.org/officeDocument/2006/relationships/hyperlink" Target="https://drive.google.com/file/d/1vvInCtw174TbSwqXWMGGWgM-tpheRIhI/view?usp=drivesdk" TargetMode="External"/><Relationship Id="rId699" Type="http://schemas.openxmlformats.org/officeDocument/2006/relationships/hyperlink" Target="https://drive.google.com/file/d/1D2tAoe9g2rX9jWryido_KT1JCZ0RAw-S/view?usp=drivesdk" TargetMode="External"/><Relationship Id="rId214" Type="http://schemas.openxmlformats.org/officeDocument/2006/relationships/hyperlink" Target="https://drive.google.com/uc?export=view&amp;id=146RhHNvaAGlebMp-dr7VpnIvFNIS3Hv7" TargetMode="External"/><Relationship Id="rId698" Type="http://schemas.openxmlformats.org/officeDocument/2006/relationships/hyperlink" Target="https://drive.google.com/uc?export=view&amp;id=1VEFnlPWN-OXeuKl6YElSHSBU4uUH0lBs" TargetMode="External"/><Relationship Id="rId219" Type="http://schemas.openxmlformats.org/officeDocument/2006/relationships/hyperlink" Target="https://drive.google.com/file/d/1fCP7ed86NksYW89Aaod3xP8Mqm6x-YEQ/view?usp=drivesdk" TargetMode="External"/><Relationship Id="rId218" Type="http://schemas.openxmlformats.org/officeDocument/2006/relationships/hyperlink" Target="https://drive.google.com/uc?export=view&amp;id=1Q5lHbNp5VvtjlL_CJSko4kU5VQd6BQyk" TargetMode="External"/><Relationship Id="rId693" Type="http://schemas.openxmlformats.org/officeDocument/2006/relationships/hyperlink" Target="https://drive.google.com/file/d/1PDAT0LdOtNawScX_IrU-vMeHPstu2l_e/view?usp=drivesdk" TargetMode="External"/><Relationship Id="rId1040" Type="http://schemas.openxmlformats.org/officeDocument/2006/relationships/hyperlink" Target="https://drive.google.com/uc?export=view&amp;id=1pIBM7bOahJR32hcHT7QBNhlKw2TA4eEZ" TargetMode="External"/><Relationship Id="rId692" Type="http://schemas.openxmlformats.org/officeDocument/2006/relationships/hyperlink" Target="https://drive.google.com/uc?export=view&amp;id=1nrQQaPO7-UGkPuqMlf7zwX8qbaofD7dV" TargetMode="External"/><Relationship Id="rId1041" Type="http://schemas.openxmlformats.org/officeDocument/2006/relationships/hyperlink" Target="https://drive.google.com/file/d/12UUmbM1ZEbw31-AEKxO-9hPJyv7nc2GR/view?usp=drivesdk" TargetMode="External"/><Relationship Id="rId691" Type="http://schemas.openxmlformats.org/officeDocument/2006/relationships/hyperlink" Target="https://drive.google.com/file/d/1nrQQaPO7-UGkPuqMlf7zwX8qbaofD7dV/view?usp=drivesdk" TargetMode="External"/><Relationship Id="rId1042" Type="http://schemas.openxmlformats.org/officeDocument/2006/relationships/hyperlink" Target="https://drive.google.com/uc?export=view&amp;id=12UUmbM1ZEbw31-AEKxO-9hPJyv7nc2GR" TargetMode="External"/><Relationship Id="rId690" Type="http://schemas.openxmlformats.org/officeDocument/2006/relationships/hyperlink" Target="https://drive.google.com/uc?export=view&amp;id=1U1n6ol2gBpJujNiuYvL1MXd96C3NmL8E" TargetMode="External"/><Relationship Id="rId1043" Type="http://schemas.openxmlformats.org/officeDocument/2006/relationships/hyperlink" Target="https://drive.google.com/file/d/1kiHj88q4tLo4v4YS9ArgfBa1ykAn3ZHv/view?usp=drivesdk" TargetMode="External"/><Relationship Id="rId213" Type="http://schemas.openxmlformats.org/officeDocument/2006/relationships/hyperlink" Target="https://drive.google.com/file/d/146RhHNvaAGlebMp-dr7VpnIvFNIS3Hv7/view?usp=drivesdk" TargetMode="External"/><Relationship Id="rId697" Type="http://schemas.openxmlformats.org/officeDocument/2006/relationships/hyperlink" Target="https://drive.google.com/file/d/1VEFnlPWN-OXeuKl6YElSHSBU4uUH0lBs/view?usp=drivesdk" TargetMode="External"/><Relationship Id="rId1044" Type="http://schemas.openxmlformats.org/officeDocument/2006/relationships/hyperlink" Target="https://drive.google.com/uc?export=view&amp;id=1kiHj88q4tLo4v4YS9ArgfBa1ykAn3ZHv" TargetMode="External"/><Relationship Id="rId212" Type="http://schemas.openxmlformats.org/officeDocument/2006/relationships/hyperlink" Target="https://drive.google.com/uc?export=view&amp;id=1EiVAkMAIXQI2IQTLNItA1dcYF35zt2bq" TargetMode="External"/><Relationship Id="rId696" Type="http://schemas.openxmlformats.org/officeDocument/2006/relationships/hyperlink" Target="https://drive.google.com/uc?export=view&amp;id=1ZGu4YxvzV-R7MeCV-EAawHC61l5mIIhQ" TargetMode="External"/><Relationship Id="rId1045" Type="http://schemas.openxmlformats.org/officeDocument/2006/relationships/hyperlink" Target="https://drive.google.com/file/d/1_vaSGGeBurcVJAKki0cS0rZpwrxytn8e/view?usp=drivesdk" TargetMode="External"/><Relationship Id="rId211" Type="http://schemas.openxmlformats.org/officeDocument/2006/relationships/hyperlink" Target="https://drive.google.com/file/d/1EiVAkMAIXQI2IQTLNItA1dcYF35zt2bq/view?usp=drivesdk" TargetMode="External"/><Relationship Id="rId695" Type="http://schemas.openxmlformats.org/officeDocument/2006/relationships/hyperlink" Target="https://drive.google.com/file/d/1ZGu4YxvzV-R7MeCV-EAawHC61l5mIIhQ/view?usp=drivesdk" TargetMode="External"/><Relationship Id="rId1046" Type="http://schemas.openxmlformats.org/officeDocument/2006/relationships/hyperlink" Target="https://drive.google.com/uc?export=view&amp;id=1_vaSGGeBurcVJAKki0cS0rZpwrxytn8e" TargetMode="External"/><Relationship Id="rId210" Type="http://schemas.openxmlformats.org/officeDocument/2006/relationships/hyperlink" Target="https://drive.google.com/uc?export=view&amp;id=1GgRxYqiueAAC6zQI8Nn2WLtLlEvZn69C" TargetMode="External"/><Relationship Id="rId694" Type="http://schemas.openxmlformats.org/officeDocument/2006/relationships/hyperlink" Target="https://drive.google.com/uc?export=view&amp;id=1PDAT0LdOtNawScX_IrU-vMeHPstu2l_e" TargetMode="External"/><Relationship Id="rId1047" Type="http://schemas.openxmlformats.org/officeDocument/2006/relationships/hyperlink" Target="https://drive.google.com/file/d/1F6IBxy55RqjziMnNgdAoqCDUH2TVgwkX/view?usp=drivesdk" TargetMode="External"/><Relationship Id="rId249" Type="http://schemas.openxmlformats.org/officeDocument/2006/relationships/hyperlink" Target="https://drive.google.com/file/d/1FyRYOLeS71zj0l8mJ2aKm4gcyEakowjk/view?usp=drivesdk" TargetMode="External"/><Relationship Id="rId248" Type="http://schemas.openxmlformats.org/officeDocument/2006/relationships/hyperlink" Target="https://drive.google.com/uc?export=view&amp;id=1C4tZeYI77w_kgUazTOJgSph_xcZdkXcf" TargetMode="External"/><Relationship Id="rId247" Type="http://schemas.openxmlformats.org/officeDocument/2006/relationships/hyperlink" Target="https://drive.google.com/file/d/1C4tZeYI77w_kgUazTOJgSph_xcZdkXcf/view?usp=drivesdk" TargetMode="External"/><Relationship Id="rId1070" Type="http://schemas.openxmlformats.org/officeDocument/2006/relationships/hyperlink" Target="https://drive.google.com/uc?export=view&amp;id=1Fu1Qk2-B1oOCICMOkFuMLmPBzdJeDN3-" TargetMode="External"/><Relationship Id="rId1071" Type="http://schemas.openxmlformats.org/officeDocument/2006/relationships/hyperlink" Target="https://drive.google.com/file/d/1lo5QnHBniduRqwug29ywAR0y3r3l2IUL/view?usp=drivesdk" TargetMode="External"/><Relationship Id="rId1072" Type="http://schemas.openxmlformats.org/officeDocument/2006/relationships/hyperlink" Target="https://drive.google.com/uc?export=view&amp;id=1lo5QnHBniduRqwug29ywAR0y3r3l2IUL" TargetMode="External"/><Relationship Id="rId242" Type="http://schemas.openxmlformats.org/officeDocument/2006/relationships/hyperlink" Target="https://drive.google.com/uc?export=view&amp;id=1EmqIUATOuZLmGl5QRl9OcCyUpSlTfA6x" TargetMode="External"/><Relationship Id="rId1073" Type="http://schemas.openxmlformats.org/officeDocument/2006/relationships/hyperlink" Target="https://drive.google.com/file/d/1pCkw27FSrEweMIJ0UMbdRsS_hw2DUNdm/view?usp=drivesdk" TargetMode="External"/><Relationship Id="rId241" Type="http://schemas.openxmlformats.org/officeDocument/2006/relationships/hyperlink" Target="https://drive.google.com/file/d/1EmqIUATOuZLmGl5QRl9OcCyUpSlTfA6x/view?usp=drivesdk" TargetMode="External"/><Relationship Id="rId1074" Type="http://schemas.openxmlformats.org/officeDocument/2006/relationships/hyperlink" Target="https://drive.google.com/uc?export=view&amp;id=1pCkw27FSrEweMIJ0UMbdRsS_hw2DUNdm" TargetMode="External"/><Relationship Id="rId240" Type="http://schemas.openxmlformats.org/officeDocument/2006/relationships/hyperlink" Target="https://drive.google.com/uc?export=view&amp;id=1vhd0LWkPfuMk0yI3-AlG2HhPNVLqLL5b" TargetMode="External"/><Relationship Id="rId1075" Type="http://schemas.openxmlformats.org/officeDocument/2006/relationships/hyperlink" Target="https://drive.google.com/file/d/1vuxuQ-6tuYLnrPuFnLInfN9-a2OkKhAq/view?usp=drivesdk" TargetMode="External"/><Relationship Id="rId1076" Type="http://schemas.openxmlformats.org/officeDocument/2006/relationships/hyperlink" Target="https://drive.google.com/uc?export=view&amp;id=1vuxuQ-6tuYLnrPuFnLInfN9-a2OkKhAq" TargetMode="External"/><Relationship Id="rId246" Type="http://schemas.openxmlformats.org/officeDocument/2006/relationships/hyperlink" Target="https://drive.google.com/uc?export=view&amp;id=13fLmKOxV2FWMmhlM2WWTIS3tly-wMsKN" TargetMode="External"/><Relationship Id="rId1077" Type="http://schemas.openxmlformats.org/officeDocument/2006/relationships/hyperlink" Target="https://drive.google.com/file/d/19yMd3ws7jIn8c4vWskQ-Zl0o-ff8GPW7/view?usp=drivesdk" TargetMode="External"/><Relationship Id="rId245" Type="http://schemas.openxmlformats.org/officeDocument/2006/relationships/hyperlink" Target="https://drive.google.com/file/d/13fLmKOxV2FWMmhlM2WWTIS3tly-wMsKN/view?usp=drivesdk" TargetMode="External"/><Relationship Id="rId1078" Type="http://schemas.openxmlformats.org/officeDocument/2006/relationships/hyperlink" Target="https://drive.google.com/uc?export=view&amp;id=19yMd3ws7jIn8c4vWskQ-Zl0o-ff8GPW7" TargetMode="External"/><Relationship Id="rId244" Type="http://schemas.openxmlformats.org/officeDocument/2006/relationships/hyperlink" Target="https://drive.google.com/uc?export=view&amp;id=1aX1eYFK91h82spruRsulhTRIWQBy445X" TargetMode="External"/><Relationship Id="rId1079" Type="http://schemas.openxmlformats.org/officeDocument/2006/relationships/hyperlink" Target="https://drive.google.com/file/d/1I-cjTzPW0r5WVA-We0KW4HdbsC_C-ppH/view?usp=drivesdk" TargetMode="External"/><Relationship Id="rId243" Type="http://schemas.openxmlformats.org/officeDocument/2006/relationships/hyperlink" Target="https://drive.google.com/file/d/1aX1eYFK91h82spruRsulhTRIWQBy445X/view?usp=drivesdk" TargetMode="External"/><Relationship Id="rId239" Type="http://schemas.openxmlformats.org/officeDocument/2006/relationships/hyperlink" Target="https://drive.google.com/file/d/1vhd0LWkPfuMk0yI3-AlG2HhPNVLqLL5b/view?usp=drivesdk" TargetMode="External"/><Relationship Id="rId238" Type="http://schemas.openxmlformats.org/officeDocument/2006/relationships/hyperlink" Target="https://drive.google.com/uc?export=view&amp;id=1t8XIC7-wsQvN-T3hLYVreYESpY1wtwKc" TargetMode="External"/><Relationship Id="rId237" Type="http://schemas.openxmlformats.org/officeDocument/2006/relationships/hyperlink" Target="https://drive.google.com/file/d/1t8XIC7-wsQvN-T3hLYVreYESpY1wtwKc/view?usp=drivesdk" TargetMode="External"/><Relationship Id="rId236" Type="http://schemas.openxmlformats.org/officeDocument/2006/relationships/hyperlink" Target="https://drive.google.com/uc?export=view&amp;id=1b3ChMGdweCjNv4DgR8j-dnD_Kf94RoHL" TargetMode="External"/><Relationship Id="rId1060" Type="http://schemas.openxmlformats.org/officeDocument/2006/relationships/hyperlink" Target="https://drive.google.com/uc?export=view&amp;id=1U9vUN8C1rsf1vafplzNIIXLOaL3BAOaC" TargetMode="External"/><Relationship Id="rId1061" Type="http://schemas.openxmlformats.org/officeDocument/2006/relationships/hyperlink" Target="https://drive.google.com/file/d/1tbx-5AEjkhF0TrLMy85cDPDX7PwrnUx1/view?usp=drivesdk" TargetMode="External"/><Relationship Id="rId231" Type="http://schemas.openxmlformats.org/officeDocument/2006/relationships/hyperlink" Target="https://drive.google.com/file/d/15lXCZaO2TINut0YDnH64kJntX4F2EONQ/view?usp=drivesdk" TargetMode="External"/><Relationship Id="rId1062" Type="http://schemas.openxmlformats.org/officeDocument/2006/relationships/hyperlink" Target="https://drive.google.com/uc?export=view&amp;id=1tbx-5AEjkhF0TrLMy85cDPDX7PwrnUx1" TargetMode="External"/><Relationship Id="rId230" Type="http://schemas.openxmlformats.org/officeDocument/2006/relationships/hyperlink" Target="https://drive.google.com/uc?export=view&amp;id=1jkk_i4rJpKfgLzrEJO-HAP-QfWAut0ku" TargetMode="External"/><Relationship Id="rId1063" Type="http://schemas.openxmlformats.org/officeDocument/2006/relationships/hyperlink" Target="https://drive.google.com/file/d/1CzTrybBGGBJF_iQY4qJQxWGtkNGIERDQ/view?usp=drivesdk" TargetMode="External"/><Relationship Id="rId1064" Type="http://schemas.openxmlformats.org/officeDocument/2006/relationships/hyperlink" Target="https://drive.google.com/uc?export=view&amp;id=1CzTrybBGGBJF_iQY4qJQxWGtkNGIERDQ" TargetMode="External"/><Relationship Id="rId1065" Type="http://schemas.openxmlformats.org/officeDocument/2006/relationships/hyperlink" Target="https://drive.google.com/file/d/1_lgBYz-fZ1jaygOm1sH9HyITL-z1P9Rz/view?usp=drivesdk" TargetMode="External"/><Relationship Id="rId235" Type="http://schemas.openxmlformats.org/officeDocument/2006/relationships/hyperlink" Target="https://drive.google.com/file/d/1b3ChMGdweCjNv4DgR8j-dnD_Kf94RoHL/view?usp=drivesdk" TargetMode="External"/><Relationship Id="rId1066" Type="http://schemas.openxmlformats.org/officeDocument/2006/relationships/hyperlink" Target="https://drive.google.com/uc?export=view&amp;id=1_lgBYz-fZ1jaygOm1sH9HyITL-z1P9Rz" TargetMode="External"/><Relationship Id="rId234" Type="http://schemas.openxmlformats.org/officeDocument/2006/relationships/hyperlink" Target="https://drive.google.com/uc?export=view&amp;id=1Veef8PnSzQIR0KNaC4beceC5Boyp3p6g" TargetMode="External"/><Relationship Id="rId1067" Type="http://schemas.openxmlformats.org/officeDocument/2006/relationships/hyperlink" Target="https://drive.google.com/file/d/1HFu_aDoUl0-CZso7e_xp2XnPBvHbtbp7/view?usp=drivesdk" TargetMode="External"/><Relationship Id="rId233" Type="http://schemas.openxmlformats.org/officeDocument/2006/relationships/hyperlink" Target="https://drive.google.com/file/d/1Veef8PnSzQIR0KNaC4beceC5Boyp3p6g/view?usp=drivesdk" TargetMode="External"/><Relationship Id="rId1068" Type="http://schemas.openxmlformats.org/officeDocument/2006/relationships/hyperlink" Target="https://drive.google.com/uc?export=view&amp;id=1HFu_aDoUl0-CZso7e_xp2XnPBvHbtbp7" TargetMode="External"/><Relationship Id="rId232" Type="http://schemas.openxmlformats.org/officeDocument/2006/relationships/hyperlink" Target="https://drive.google.com/uc?export=view&amp;id=15lXCZaO2TINut0YDnH64kJntX4F2EONQ" TargetMode="External"/><Relationship Id="rId1069" Type="http://schemas.openxmlformats.org/officeDocument/2006/relationships/hyperlink" Target="https://drive.google.com/file/d/1Fu1Qk2-B1oOCICMOkFuMLmPBzdJeDN3-/view?usp=drivesdk" TargetMode="External"/><Relationship Id="rId1015" Type="http://schemas.openxmlformats.org/officeDocument/2006/relationships/hyperlink" Target="https://drive.google.com/file/d/1ADDTms_2Sud0W131tEfE1TLgJ4kpv0sh/view?usp=drivesdk" TargetMode="External"/><Relationship Id="rId1499" Type="http://schemas.openxmlformats.org/officeDocument/2006/relationships/hyperlink" Target="https://drive.google.com/file/d/1a43Yi13MJdJ-XoVgN_NXE4NJDpfGCJ4n/view?usp=drivesdk" TargetMode="External"/><Relationship Id="rId1016" Type="http://schemas.openxmlformats.org/officeDocument/2006/relationships/hyperlink" Target="https://drive.google.com/uc?export=view&amp;id=1ADDTms_2Sud0W131tEfE1TLgJ4kpv0sh" TargetMode="External"/><Relationship Id="rId1017" Type="http://schemas.openxmlformats.org/officeDocument/2006/relationships/hyperlink" Target="https://drive.google.com/file/d/1wCL4EHF-PCMKiVPZC8ypNZsLbfy0q3cw/view?usp=drivesdk" TargetMode="External"/><Relationship Id="rId1018" Type="http://schemas.openxmlformats.org/officeDocument/2006/relationships/hyperlink" Target="https://drive.google.com/uc?export=view&amp;id=1wCL4EHF-PCMKiVPZC8ypNZsLbfy0q3cw" TargetMode="External"/><Relationship Id="rId1019" Type="http://schemas.openxmlformats.org/officeDocument/2006/relationships/hyperlink" Target="https://drive.google.com/file/d/1T9qJUJM9Tbwvizw0zhw8lKGenqmO2d6A/view?usp=drivesdk" TargetMode="External"/><Relationship Id="rId668" Type="http://schemas.openxmlformats.org/officeDocument/2006/relationships/hyperlink" Target="https://drive.google.com/uc?export=view&amp;id=1IAESLMh30pDvUoYUVrzAqdekocbi2fn_" TargetMode="External"/><Relationship Id="rId667" Type="http://schemas.openxmlformats.org/officeDocument/2006/relationships/hyperlink" Target="https://drive.google.com/file/d/1IAESLMh30pDvUoYUVrzAqdekocbi2fn_/view?usp=drivesdk" TargetMode="External"/><Relationship Id="rId666" Type="http://schemas.openxmlformats.org/officeDocument/2006/relationships/hyperlink" Target="https://drive.google.com/uc?export=view&amp;id=1CrYMCxhEn3KG6PrpzLwaUY36x0qE2SgD" TargetMode="External"/><Relationship Id="rId665" Type="http://schemas.openxmlformats.org/officeDocument/2006/relationships/hyperlink" Target="https://drive.google.com/file/d/1CrYMCxhEn3KG6PrpzLwaUY36x0qE2SgD/view?usp=drivesdk" TargetMode="External"/><Relationship Id="rId669" Type="http://schemas.openxmlformats.org/officeDocument/2006/relationships/hyperlink" Target="https://drive.google.com/file/d/13KO_ulO_xASKRsGhnDXleYu26LyKXeyY/view?usp=drivesdk" TargetMode="External"/><Relationship Id="rId1490" Type="http://schemas.openxmlformats.org/officeDocument/2006/relationships/hyperlink" Target="https://drive.google.com/uc?export=view&amp;id=1qCUZjqFZI7FyInach9GQCh5qrnsMq1nS" TargetMode="External"/><Relationship Id="rId660" Type="http://schemas.openxmlformats.org/officeDocument/2006/relationships/hyperlink" Target="https://drive.google.com/uc?export=view&amp;id=1FJ-epfRW1VgI7KcRcvTr5InVpsSbgvpw" TargetMode="External"/><Relationship Id="rId1491" Type="http://schemas.openxmlformats.org/officeDocument/2006/relationships/hyperlink" Target="https://drive.google.com/file/d/1d0nOYDYUPkxoNpLXDlpRTmZLlcGQdDJ1/view?usp=drivesdk" TargetMode="External"/><Relationship Id="rId1492" Type="http://schemas.openxmlformats.org/officeDocument/2006/relationships/hyperlink" Target="https://drive.google.com/uc?export=view&amp;id=1d0nOYDYUPkxoNpLXDlpRTmZLlcGQdDJ1" TargetMode="External"/><Relationship Id="rId1493" Type="http://schemas.openxmlformats.org/officeDocument/2006/relationships/hyperlink" Target="https://drive.google.com/file/d/1gBYR4HsnTzbShzDbFYYpv9CjIshqHFDW/view?usp=drivesdk" TargetMode="External"/><Relationship Id="rId1010" Type="http://schemas.openxmlformats.org/officeDocument/2006/relationships/hyperlink" Target="https://drive.google.com/uc?export=view&amp;id=15L-UTiztJJi0wZfOVsvzfloZ3moSn8hy" TargetMode="External"/><Relationship Id="rId1494" Type="http://schemas.openxmlformats.org/officeDocument/2006/relationships/hyperlink" Target="https://drive.google.com/uc?export=view&amp;id=1gBYR4HsnTzbShzDbFYYpv9CjIshqHFDW" TargetMode="External"/><Relationship Id="rId664" Type="http://schemas.openxmlformats.org/officeDocument/2006/relationships/hyperlink" Target="https://drive.google.com/uc?export=view&amp;id=16TU-djcWeUVUhYzJdO0Z-WGPnyRgLsof" TargetMode="External"/><Relationship Id="rId1011" Type="http://schemas.openxmlformats.org/officeDocument/2006/relationships/hyperlink" Target="https://drive.google.com/file/d/1tdoFkCgnKQLLcdJlGCAqVxpKC9rllQQZ/view?usp=drivesdk" TargetMode="External"/><Relationship Id="rId1495" Type="http://schemas.openxmlformats.org/officeDocument/2006/relationships/hyperlink" Target="https://drive.google.com/file/d/1MWKHk8V7AUS83fszF4SoROZqrnBEHnIk/view?usp=drivesdk" TargetMode="External"/><Relationship Id="rId663" Type="http://schemas.openxmlformats.org/officeDocument/2006/relationships/hyperlink" Target="https://drive.google.com/file/d/16TU-djcWeUVUhYzJdO0Z-WGPnyRgLsof/view?usp=drivesdk" TargetMode="External"/><Relationship Id="rId1012" Type="http://schemas.openxmlformats.org/officeDocument/2006/relationships/hyperlink" Target="https://drive.google.com/uc?export=view&amp;id=1tdoFkCgnKQLLcdJlGCAqVxpKC9rllQQZ" TargetMode="External"/><Relationship Id="rId1496" Type="http://schemas.openxmlformats.org/officeDocument/2006/relationships/hyperlink" Target="https://drive.google.com/uc?export=view&amp;id=1MWKHk8V7AUS83fszF4SoROZqrnBEHnIk" TargetMode="External"/><Relationship Id="rId662" Type="http://schemas.openxmlformats.org/officeDocument/2006/relationships/hyperlink" Target="https://drive.google.com/uc?export=view&amp;id=1GAHHs4Af4YiXssYXWMFTRBBgwkDBiM8Z" TargetMode="External"/><Relationship Id="rId1013" Type="http://schemas.openxmlformats.org/officeDocument/2006/relationships/hyperlink" Target="https://drive.google.com/file/d/12HbHJ2jgJlyhaBCh0a0OcYKzneA425Km/view?usp=drivesdk" TargetMode="External"/><Relationship Id="rId1497" Type="http://schemas.openxmlformats.org/officeDocument/2006/relationships/hyperlink" Target="https://drive.google.com/file/d/16cg1Rd1QXbsUqhm-8Iuxugensn9tWmiZ/view?usp=drivesdk" TargetMode="External"/><Relationship Id="rId661" Type="http://schemas.openxmlformats.org/officeDocument/2006/relationships/hyperlink" Target="https://drive.google.com/file/d/1GAHHs4Af4YiXssYXWMFTRBBgwkDBiM8Z/view?usp=drivesdk" TargetMode="External"/><Relationship Id="rId1014" Type="http://schemas.openxmlformats.org/officeDocument/2006/relationships/hyperlink" Target="https://drive.google.com/uc?export=view&amp;id=12HbHJ2jgJlyhaBCh0a0OcYKzneA425Km" TargetMode="External"/><Relationship Id="rId1498" Type="http://schemas.openxmlformats.org/officeDocument/2006/relationships/hyperlink" Target="https://drive.google.com/uc?export=view&amp;id=16cg1Rd1QXbsUqhm-8Iuxugensn9tWmiZ" TargetMode="External"/><Relationship Id="rId1004" Type="http://schemas.openxmlformats.org/officeDocument/2006/relationships/hyperlink" Target="https://drive.google.com/uc?export=view&amp;id=1l99LFL4u4jg3X_ndm4bQy1dXsMyao2LV" TargetMode="External"/><Relationship Id="rId1488" Type="http://schemas.openxmlformats.org/officeDocument/2006/relationships/hyperlink" Target="https://drive.google.com/uc?export=view&amp;id=1FlqVLwnmnDdYMef9HzlGJa687jEdevdV" TargetMode="External"/><Relationship Id="rId1005" Type="http://schemas.openxmlformats.org/officeDocument/2006/relationships/hyperlink" Target="https://drive.google.com/file/d/1QN9_LavK3h-1Ps3R2WmgCdXKuhaH_Y5v/view?usp=drivesdk" TargetMode="External"/><Relationship Id="rId1489" Type="http://schemas.openxmlformats.org/officeDocument/2006/relationships/hyperlink" Target="https://drive.google.com/file/d/1qCUZjqFZI7FyInach9GQCh5qrnsMq1nS/view?usp=drivesdk" TargetMode="External"/><Relationship Id="rId1006" Type="http://schemas.openxmlformats.org/officeDocument/2006/relationships/hyperlink" Target="https://drive.google.com/uc?export=view&amp;id=1QN9_LavK3h-1Ps3R2WmgCdXKuhaH_Y5v" TargetMode="External"/><Relationship Id="rId1007" Type="http://schemas.openxmlformats.org/officeDocument/2006/relationships/hyperlink" Target="https://drive.google.com/file/d/1CTlQF2I-wwyoHLdLWzOiOnn8gHvn-ftY/view?usp=drivesdk" TargetMode="External"/><Relationship Id="rId1008" Type="http://schemas.openxmlformats.org/officeDocument/2006/relationships/hyperlink" Target="https://drive.google.com/uc?export=view&amp;id=1CTlQF2I-wwyoHLdLWzOiOnn8gHvn-ftY" TargetMode="External"/><Relationship Id="rId1009" Type="http://schemas.openxmlformats.org/officeDocument/2006/relationships/hyperlink" Target="https://drive.google.com/file/d/15L-UTiztJJi0wZfOVsvzfloZ3moSn8hy/view?usp=drivesdk" TargetMode="External"/><Relationship Id="rId657" Type="http://schemas.openxmlformats.org/officeDocument/2006/relationships/hyperlink" Target="https://drive.google.com/file/d/1YJJfUA2sTBg5iPDbj-W0L2Iuzjjvdmyv/view?usp=drivesdk" TargetMode="External"/><Relationship Id="rId656" Type="http://schemas.openxmlformats.org/officeDocument/2006/relationships/hyperlink" Target="https://drive.google.com/uc?export=view&amp;id=1xXLWT_G4vY71QZfhvXlCtPfqCQ3PIzwF" TargetMode="External"/><Relationship Id="rId655" Type="http://schemas.openxmlformats.org/officeDocument/2006/relationships/hyperlink" Target="https://drive.google.com/file/d/1xXLWT_G4vY71QZfhvXlCtPfqCQ3PIzwF/view?usp=drivesdk" TargetMode="External"/><Relationship Id="rId654" Type="http://schemas.openxmlformats.org/officeDocument/2006/relationships/hyperlink" Target="https://drive.google.com/uc?export=view&amp;id=1LcmC2hdw-BoNlSbEo1cOROVeF3lGgs7X" TargetMode="External"/><Relationship Id="rId659" Type="http://schemas.openxmlformats.org/officeDocument/2006/relationships/hyperlink" Target="https://drive.google.com/file/d/1FJ-epfRW1VgI7KcRcvTr5InVpsSbgvpw/view?usp=drivesdk" TargetMode="External"/><Relationship Id="rId658" Type="http://schemas.openxmlformats.org/officeDocument/2006/relationships/hyperlink" Target="https://drive.google.com/uc?export=view&amp;id=1YJJfUA2sTBg5iPDbj-W0L2Iuzjjvdmyv" TargetMode="External"/><Relationship Id="rId1480" Type="http://schemas.openxmlformats.org/officeDocument/2006/relationships/hyperlink" Target="https://drive.google.com/uc?export=view&amp;id=1If5OfucosV6q0gJiJWgal_EBYyRo52CO" TargetMode="External"/><Relationship Id="rId1481" Type="http://schemas.openxmlformats.org/officeDocument/2006/relationships/hyperlink" Target="https://drive.google.com/file/d/1V9LFqdEeh5m9HNpBzwtXEhqowEdAdqKt/view?usp=drivesdk" TargetMode="External"/><Relationship Id="rId1482" Type="http://schemas.openxmlformats.org/officeDocument/2006/relationships/hyperlink" Target="https://drive.google.com/uc?export=view&amp;id=1V9LFqdEeh5m9HNpBzwtXEhqowEdAdqKt" TargetMode="External"/><Relationship Id="rId1483" Type="http://schemas.openxmlformats.org/officeDocument/2006/relationships/hyperlink" Target="https://drive.google.com/file/d/1XGXWfX923VN5V86GAJX6gZSjv4--7Fyj/view?usp=drivesdk" TargetMode="External"/><Relationship Id="rId653" Type="http://schemas.openxmlformats.org/officeDocument/2006/relationships/hyperlink" Target="https://drive.google.com/file/d/1LcmC2hdw-BoNlSbEo1cOROVeF3lGgs7X/view?usp=drivesdk" TargetMode="External"/><Relationship Id="rId1000" Type="http://schemas.openxmlformats.org/officeDocument/2006/relationships/hyperlink" Target="https://drive.google.com/uc?export=view&amp;id=1sINMJGDfrB2K0jSBhlyOz21jngyhgJTD" TargetMode="External"/><Relationship Id="rId1484" Type="http://schemas.openxmlformats.org/officeDocument/2006/relationships/hyperlink" Target="https://drive.google.com/uc?export=view&amp;id=1XGXWfX923VN5V86GAJX6gZSjv4--7Fyj" TargetMode="External"/><Relationship Id="rId652" Type="http://schemas.openxmlformats.org/officeDocument/2006/relationships/hyperlink" Target="https://drive.google.com/uc?export=view&amp;id=1Rg0iap8i02C7mtvWv8QqsyttKkFbHvfh" TargetMode="External"/><Relationship Id="rId1001" Type="http://schemas.openxmlformats.org/officeDocument/2006/relationships/hyperlink" Target="https://drive.google.com/file/d/1tPNwzKIHfrluxrCPKlpGpqHFNQtdMNs4/view?usp=drivesdk" TargetMode="External"/><Relationship Id="rId1485" Type="http://schemas.openxmlformats.org/officeDocument/2006/relationships/hyperlink" Target="https://drive.google.com/file/d/11znIia-mviuHaG_1INoGAGKhrWJynIsh/view?usp=drivesdk" TargetMode="External"/><Relationship Id="rId651" Type="http://schemas.openxmlformats.org/officeDocument/2006/relationships/hyperlink" Target="https://drive.google.com/file/d/1Rg0iap8i02C7mtvWv8QqsyttKkFbHvfh/view?usp=drivesdk" TargetMode="External"/><Relationship Id="rId1002" Type="http://schemas.openxmlformats.org/officeDocument/2006/relationships/hyperlink" Target="https://drive.google.com/uc?export=view&amp;id=1tPNwzKIHfrluxrCPKlpGpqHFNQtdMNs4" TargetMode="External"/><Relationship Id="rId1486" Type="http://schemas.openxmlformats.org/officeDocument/2006/relationships/hyperlink" Target="https://drive.google.com/uc?export=view&amp;id=11znIia-mviuHaG_1INoGAGKhrWJynIsh" TargetMode="External"/><Relationship Id="rId650" Type="http://schemas.openxmlformats.org/officeDocument/2006/relationships/hyperlink" Target="https://drive.google.com/uc?export=view&amp;id=11IejIAgsM2OTax1PGBrQleilIs-3tqML" TargetMode="External"/><Relationship Id="rId1003" Type="http://schemas.openxmlformats.org/officeDocument/2006/relationships/hyperlink" Target="https://drive.google.com/file/d/1l99LFL4u4jg3X_ndm4bQy1dXsMyao2LV/view?usp=drivesdk" TargetMode="External"/><Relationship Id="rId1487" Type="http://schemas.openxmlformats.org/officeDocument/2006/relationships/hyperlink" Target="https://drive.google.com/file/d/1FlqVLwnmnDdYMef9HzlGJa687jEdevdV/view?usp=drivesdk" TargetMode="External"/><Relationship Id="rId1037" Type="http://schemas.openxmlformats.org/officeDocument/2006/relationships/hyperlink" Target="https://drive.google.com/file/d/1LfUWXbmz4lvoHSlo-QWCd8s71Wwm6rc1/view?usp=drivesdk" TargetMode="External"/><Relationship Id="rId1038" Type="http://schemas.openxmlformats.org/officeDocument/2006/relationships/hyperlink" Target="https://drive.google.com/uc?export=view&amp;id=1LfUWXbmz4lvoHSlo-QWCd8s71Wwm6rc1" TargetMode="External"/><Relationship Id="rId1039" Type="http://schemas.openxmlformats.org/officeDocument/2006/relationships/hyperlink" Target="https://drive.google.com/file/d/1pIBM7bOahJR32hcHT7QBNhlKw2TA4eEZ/view?usp=drivesdk" TargetMode="External"/><Relationship Id="rId206" Type="http://schemas.openxmlformats.org/officeDocument/2006/relationships/hyperlink" Target="https://drive.google.com/uc?export=view&amp;id=1B0fHhisiOFjEHImfKwATyLylo7HDmroM" TargetMode="External"/><Relationship Id="rId205" Type="http://schemas.openxmlformats.org/officeDocument/2006/relationships/hyperlink" Target="https://drive.google.com/file/d/1B0fHhisiOFjEHImfKwATyLylo7HDmroM/view?usp=drivesdk" TargetMode="External"/><Relationship Id="rId689" Type="http://schemas.openxmlformats.org/officeDocument/2006/relationships/hyperlink" Target="https://drive.google.com/file/d/1U1n6ol2gBpJujNiuYvL1MXd96C3NmL8E/view?usp=drivesdk" TargetMode="External"/><Relationship Id="rId204" Type="http://schemas.openxmlformats.org/officeDocument/2006/relationships/hyperlink" Target="https://drive.google.com/uc?export=view&amp;id=10YkEA0AMW-vXYWHBTdRZrONAiZ6BdShY" TargetMode="External"/><Relationship Id="rId688" Type="http://schemas.openxmlformats.org/officeDocument/2006/relationships/hyperlink" Target="https://drive.google.com/uc?export=view&amp;id=1o2P_AeTEf6dmtHlG_O-SSDudkyxq-Qts" TargetMode="External"/><Relationship Id="rId203" Type="http://schemas.openxmlformats.org/officeDocument/2006/relationships/hyperlink" Target="https://drive.google.com/file/d/10YkEA0AMW-vXYWHBTdRZrONAiZ6BdShY/view?usp=drivesdk" TargetMode="External"/><Relationship Id="rId687" Type="http://schemas.openxmlformats.org/officeDocument/2006/relationships/hyperlink" Target="https://drive.google.com/file/d/1o2P_AeTEf6dmtHlG_O-SSDudkyxq-Qts/view?usp=drivesdk" TargetMode="External"/><Relationship Id="rId209" Type="http://schemas.openxmlformats.org/officeDocument/2006/relationships/hyperlink" Target="https://drive.google.com/file/d/1GgRxYqiueAAC6zQI8Nn2WLtLlEvZn69C/view?usp=drivesdk" TargetMode="External"/><Relationship Id="rId208" Type="http://schemas.openxmlformats.org/officeDocument/2006/relationships/hyperlink" Target="https://drive.google.com/uc?export=view&amp;id=1eQPLRdNbeEyskYfewaGvyQyADp_IW57c" TargetMode="External"/><Relationship Id="rId207" Type="http://schemas.openxmlformats.org/officeDocument/2006/relationships/hyperlink" Target="https://drive.google.com/file/d/1eQPLRdNbeEyskYfewaGvyQyADp_IW57c/view?usp=drivesdk" TargetMode="External"/><Relationship Id="rId682" Type="http://schemas.openxmlformats.org/officeDocument/2006/relationships/hyperlink" Target="https://drive.google.com/uc?export=view&amp;id=1ViGJuzaGgy81R4QjR9fs0JTqpLKGXVh2" TargetMode="External"/><Relationship Id="rId681" Type="http://schemas.openxmlformats.org/officeDocument/2006/relationships/hyperlink" Target="https://drive.google.com/file/d/1ViGJuzaGgy81R4QjR9fs0JTqpLKGXVh2/view?usp=drivesdk" TargetMode="External"/><Relationship Id="rId1030" Type="http://schemas.openxmlformats.org/officeDocument/2006/relationships/hyperlink" Target="https://drive.google.com/uc?export=view&amp;id=1W8CrLfu582shF-8iavKMK6_tI-9S2RJ3" TargetMode="External"/><Relationship Id="rId680" Type="http://schemas.openxmlformats.org/officeDocument/2006/relationships/hyperlink" Target="https://drive.google.com/uc?export=view&amp;id=1EIhYg3bJTdhWquIWWs18JmuBOB0pFA3l" TargetMode="External"/><Relationship Id="rId1031" Type="http://schemas.openxmlformats.org/officeDocument/2006/relationships/hyperlink" Target="https://drive.google.com/file/d/1JtJX9ElfgCnJMDL9rb04p_DbHkSXtYg4/view?usp=drivesdk" TargetMode="External"/><Relationship Id="rId1032" Type="http://schemas.openxmlformats.org/officeDocument/2006/relationships/hyperlink" Target="https://drive.google.com/uc?export=view&amp;id=1JtJX9ElfgCnJMDL9rb04p_DbHkSXtYg4" TargetMode="External"/><Relationship Id="rId202" Type="http://schemas.openxmlformats.org/officeDocument/2006/relationships/hyperlink" Target="https://drive.google.com/uc?export=view&amp;id=1qI8ZZYKrixaVPk63HhEJhq3hIdaPkDcN" TargetMode="External"/><Relationship Id="rId686" Type="http://schemas.openxmlformats.org/officeDocument/2006/relationships/hyperlink" Target="https://drive.google.com/uc?export=view&amp;id=18ZJIw3NvvBpJmHK2FPoVIsGF6ccdSEvq" TargetMode="External"/><Relationship Id="rId1033" Type="http://schemas.openxmlformats.org/officeDocument/2006/relationships/hyperlink" Target="https://drive.google.com/file/d/1dFPHTW2KyZ5GzzQQmIx6PcRm_BAxfRJn/view?usp=drivesdk" TargetMode="External"/><Relationship Id="rId201" Type="http://schemas.openxmlformats.org/officeDocument/2006/relationships/hyperlink" Target="https://drive.google.com/file/d/1qI8ZZYKrixaVPk63HhEJhq3hIdaPkDcN/view?usp=drivesdk" TargetMode="External"/><Relationship Id="rId685" Type="http://schemas.openxmlformats.org/officeDocument/2006/relationships/hyperlink" Target="https://drive.google.com/file/d/18ZJIw3NvvBpJmHK2FPoVIsGF6ccdSEvq/view?usp=drivesdk" TargetMode="External"/><Relationship Id="rId1034" Type="http://schemas.openxmlformats.org/officeDocument/2006/relationships/hyperlink" Target="https://drive.google.com/uc?export=view&amp;id=1dFPHTW2KyZ5GzzQQmIx6PcRm_BAxfRJn" TargetMode="External"/><Relationship Id="rId200" Type="http://schemas.openxmlformats.org/officeDocument/2006/relationships/hyperlink" Target="https://drive.google.com/uc?export=view&amp;id=1Esx0FXr0ulpGFH3FMwn1Q6e6JgMq0WLD" TargetMode="External"/><Relationship Id="rId684" Type="http://schemas.openxmlformats.org/officeDocument/2006/relationships/hyperlink" Target="https://drive.google.com/uc?export=view&amp;id=1mx_BFLcyEn1Ds5AwnffsyuhYbCctnECp" TargetMode="External"/><Relationship Id="rId1035" Type="http://schemas.openxmlformats.org/officeDocument/2006/relationships/hyperlink" Target="https://drive.google.com/file/d/1GTJ7PSDFuYYBwgPaTemDot-L7n5elm4S/view?usp=drivesdk" TargetMode="External"/><Relationship Id="rId683" Type="http://schemas.openxmlformats.org/officeDocument/2006/relationships/hyperlink" Target="https://drive.google.com/file/d/1mx_BFLcyEn1Ds5AwnffsyuhYbCctnECp/view?usp=drivesdk" TargetMode="External"/><Relationship Id="rId1036" Type="http://schemas.openxmlformats.org/officeDocument/2006/relationships/hyperlink" Target="https://drive.google.com/uc?export=view&amp;id=1GTJ7PSDFuYYBwgPaTemDot-L7n5elm4S" TargetMode="External"/><Relationship Id="rId1026" Type="http://schemas.openxmlformats.org/officeDocument/2006/relationships/hyperlink" Target="https://drive.google.com/uc?export=view&amp;id=12EpmKFJszzJYPpGeDf_ES64H9-A7F-4Z" TargetMode="External"/><Relationship Id="rId1027" Type="http://schemas.openxmlformats.org/officeDocument/2006/relationships/hyperlink" Target="https://drive.google.com/file/d/1V760CycNBtZGFEqlHrq1xApLi_NYK832/view?usp=drivesdk" TargetMode="External"/><Relationship Id="rId1028" Type="http://schemas.openxmlformats.org/officeDocument/2006/relationships/hyperlink" Target="https://drive.google.com/uc?export=view&amp;id=1V760CycNBtZGFEqlHrq1xApLi_NYK832" TargetMode="External"/><Relationship Id="rId1029" Type="http://schemas.openxmlformats.org/officeDocument/2006/relationships/hyperlink" Target="https://drive.google.com/file/d/1W8CrLfu582shF-8iavKMK6_tI-9S2RJ3/view?usp=drivesdk" TargetMode="External"/><Relationship Id="rId679" Type="http://schemas.openxmlformats.org/officeDocument/2006/relationships/hyperlink" Target="https://drive.google.com/file/d/1EIhYg3bJTdhWquIWWs18JmuBOB0pFA3l/view?usp=drivesdk" TargetMode="External"/><Relationship Id="rId678" Type="http://schemas.openxmlformats.org/officeDocument/2006/relationships/hyperlink" Target="https://drive.google.com/uc?export=view&amp;id=1HWUGrOg-WaT7MrdRcTMD4wxGWij3ozZf" TargetMode="External"/><Relationship Id="rId677" Type="http://schemas.openxmlformats.org/officeDocument/2006/relationships/hyperlink" Target="https://drive.google.com/file/d/1HWUGrOg-WaT7MrdRcTMD4wxGWij3ozZf/view?usp=drivesdk" TargetMode="External"/><Relationship Id="rId676" Type="http://schemas.openxmlformats.org/officeDocument/2006/relationships/hyperlink" Target="https://drive.google.com/uc?export=view&amp;id=16slSLceklYwvw_SeQ-2XULmJCVECOyVd" TargetMode="External"/><Relationship Id="rId671" Type="http://schemas.openxmlformats.org/officeDocument/2006/relationships/hyperlink" Target="https://drive.google.com/file/d/1egqDPjqGQ8I2XNfddbYVJXZUhGd6wTaw/view?usp=drivesdk" TargetMode="External"/><Relationship Id="rId670" Type="http://schemas.openxmlformats.org/officeDocument/2006/relationships/hyperlink" Target="https://drive.google.com/uc?export=view&amp;id=13KO_ulO_xASKRsGhnDXleYu26LyKXeyY" TargetMode="External"/><Relationship Id="rId1020" Type="http://schemas.openxmlformats.org/officeDocument/2006/relationships/hyperlink" Target="https://drive.google.com/uc?export=view&amp;id=1T9qJUJM9Tbwvizw0zhw8lKGenqmO2d6A" TargetMode="External"/><Relationship Id="rId1021" Type="http://schemas.openxmlformats.org/officeDocument/2006/relationships/hyperlink" Target="https://drive.google.com/file/d/1LwR_x8crIPsxMKa6tp8eKMI1yWUF0A-S/view?usp=drivesdk" TargetMode="External"/><Relationship Id="rId675" Type="http://schemas.openxmlformats.org/officeDocument/2006/relationships/hyperlink" Target="https://drive.google.com/file/d/16slSLceklYwvw_SeQ-2XULmJCVECOyVd/view?usp=drivesdk" TargetMode="External"/><Relationship Id="rId1022" Type="http://schemas.openxmlformats.org/officeDocument/2006/relationships/hyperlink" Target="https://drive.google.com/uc?export=view&amp;id=1LwR_x8crIPsxMKa6tp8eKMI1yWUF0A-S" TargetMode="External"/><Relationship Id="rId674" Type="http://schemas.openxmlformats.org/officeDocument/2006/relationships/hyperlink" Target="https://drive.google.com/uc?export=view&amp;id=1uKpJjAMX_WKjc3YRqVsh8ZDhrZ3leF4T" TargetMode="External"/><Relationship Id="rId1023" Type="http://schemas.openxmlformats.org/officeDocument/2006/relationships/hyperlink" Target="https://drive.google.com/file/d/1RhPbazngbKh_5YD9HnGgotSiaFXW-3_f/view?usp=drivesdk" TargetMode="External"/><Relationship Id="rId673" Type="http://schemas.openxmlformats.org/officeDocument/2006/relationships/hyperlink" Target="https://drive.google.com/file/d/1uKpJjAMX_WKjc3YRqVsh8ZDhrZ3leF4T/view?usp=drivesdk" TargetMode="External"/><Relationship Id="rId1024" Type="http://schemas.openxmlformats.org/officeDocument/2006/relationships/hyperlink" Target="https://drive.google.com/uc?export=view&amp;id=1RhPbazngbKh_5YD9HnGgotSiaFXW-3_f" TargetMode="External"/><Relationship Id="rId672" Type="http://schemas.openxmlformats.org/officeDocument/2006/relationships/hyperlink" Target="https://drive.google.com/uc?export=view&amp;id=1egqDPjqGQ8I2XNfddbYVJXZUhGd6wTaw" TargetMode="External"/><Relationship Id="rId1025" Type="http://schemas.openxmlformats.org/officeDocument/2006/relationships/hyperlink" Target="https://drive.google.com/file/d/12EpmKFJszzJYPpGeDf_ES64H9-A7F-4Z/view?usp=drivesdk" TargetMode="External"/><Relationship Id="rId190" Type="http://schemas.openxmlformats.org/officeDocument/2006/relationships/hyperlink" Target="https://drive.google.com/uc?export=view&amp;id=1efIV6LF-nLyKBtuLpG2aQD_CenH20xVF" TargetMode="External"/><Relationship Id="rId194" Type="http://schemas.openxmlformats.org/officeDocument/2006/relationships/hyperlink" Target="https://drive.google.com/uc?export=view&amp;id=19nOfGDuFmDK9Xwq8xShreFUyvOnzZIki" TargetMode="External"/><Relationship Id="rId193" Type="http://schemas.openxmlformats.org/officeDocument/2006/relationships/hyperlink" Target="https://drive.google.com/file/d/19nOfGDuFmDK9Xwq8xShreFUyvOnzZIki/view?usp=drivesdk" TargetMode="External"/><Relationship Id="rId192" Type="http://schemas.openxmlformats.org/officeDocument/2006/relationships/hyperlink" Target="https://drive.google.com/uc?export=view&amp;id=1wZbCnvPBMIcf3vZPcnJYCKqskwjGi4d2" TargetMode="External"/><Relationship Id="rId191" Type="http://schemas.openxmlformats.org/officeDocument/2006/relationships/hyperlink" Target="https://drive.google.com/file/d/1wZbCnvPBMIcf3vZPcnJYCKqskwjGi4d2/view?usp=drivesdk" TargetMode="External"/><Relationship Id="rId187" Type="http://schemas.openxmlformats.org/officeDocument/2006/relationships/hyperlink" Target="https://drive.google.com/file/d/13DiEI7ZQRCkbb_dPXl9OQxL6kdL9xeu_/view?usp=drivesdk" TargetMode="External"/><Relationship Id="rId186" Type="http://schemas.openxmlformats.org/officeDocument/2006/relationships/hyperlink" Target="https://drive.google.com/uc?export=view&amp;id=1hpbppopzEPF9cQvdrsCqVFNqLZDnFAuN" TargetMode="External"/><Relationship Id="rId185" Type="http://schemas.openxmlformats.org/officeDocument/2006/relationships/hyperlink" Target="https://drive.google.com/file/d/1hpbppopzEPF9cQvdrsCqVFNqLZDnFAuN/view?usp=drivesdk" TargetMode="External"/><Relationship Id="rId184" Type="http://schemas.openxmlformats.org/officeDocument/2006/relationships/hyperlink" Target="https://drive.google.com/uc?export=view&amp;id=1et0avRcP668sbWtI7Jaoj045xjJLHun5" TargetMode="External"/><Relationship Id="rId189" Type="http://schemas.openxmlformats.org/officeDocument/2006/relationships/hyperlink" Target="https://drive.google.com/file/d/1efIV6LF-nLyKBtuLpG2aQD_CenH20xVF/view?usp=drivesdk" TargetMode="External"/><Relationship Id="rId188" Type="http://schemas.openxmlformats.org/officeDocument/2006/relationships/hyperlink" Target="https://drive.google.com/uc?export=view&amp;id=13DiEI7ZQRCkbb_dPXl9OQxL6kdL9xeu_" TargetMode="External"/><Relationship Id="rId183" Type="http://schemas.openxmlformats.org/officeDocument/2006/relationships/hyperlink" Target="https://drive.google.com/file/d/1et0avRcP668sbWtI7Jaoj045xjJLHun5/view?usp=drivesdk" TargetMode="External"/><Relationship Id="rId182" Type="http://schemas.openxmlformats.org/officeDocument/2006/relationships/hyperlink" Target="https://drive.google.com/uc?export=view&amp;id=1VdNLnqQX2Yt0E7hrLKj0GRv3SM5gQIOM" TargetMode="External"/><Relationship Id="rId181" Type="http://schemas.openxmlformats.org/officeDocument/2006/relationships/hyperlink" Target="https://drive.google.com/file/d/1VdNLnqQX2Yt0E7hrLKj0GRv3SM5gQIOM/view?usp=drivesdk" TargetMode="External"/><Relationship Id="rId180" Type="http://schemas.openxmlformats.org/officeDocument/2006/relationships/hyperlink" Target="https://drive.google.com/uc?export=view&amp;id=15VjV26vUm3oPnEp3jDa1CJ3I54173NuR" TargetMode="External"/><Relationship Id="rId176" Type="http://schemas.openxmlformats.org/officeDocument/2006/relationships/hyperlink" Target="https://drive.google.com/uc?export=view&amp;id=13sxiXXf5eij7wF2AsNkelk36MrCrw6Uz" TargetMode="External"/><Relationship Id="rId175" Type="http://schemas.openxmlformats.org/officeDocument/2006/relationships/hyperlink" Target="https://drive.google.com/file/d/13sxiXXf5eij7wF2AsNkelk36MrCrw6Uz/view?usp=drivesdk" TargetMode="External"/><Relationship Id="rId174" Type="http://schemas.openxmlformats.org/officeDocument/2006/relationships/hyperlink" Target="https://drive.google.com/uc?export=view&amp;id=1KlAFQ-T-1RpNvLa-RZd83K-FoP3c0jgA" TargetMode="External"/><Relationship Id="rId173" Type="http://schemas.openxmlformats.org/officeDocument/2006/relationships/hyperlink" Target="https://drive.google.com/file/d/1KlAFQ-T-1RpNvLa-RZd83K-FoP3c0jgA/view?usp=drivesdk" TargetMode="External"/><Relationship Id="rId179" Type="http://schemas.openxmlformats.org/officeDocument/2006/relationships/hyperlink" Target="https://drive.google.com/file/d/15VjV26vUm3oPnEp3jDa1CJ3I54173NuR/view?usp=drivesdk" TargetMode="External"/><Relationship Id="rId178" Type="http://schemas.openxmlformats.org/officeDocument/2006/relationships/hyperlink" Target="https://drive.google.com/uc?export=view&amp;id=1-5DKMfHr-CgWPiHoUTLfNf_KaHHgOdkt" TargetMode="External"/><Relationship Id="rId177" Type="http://schemas.openxmlformats.org/officeDocument/2006/relationships/hyperlink" Target="https://drive.google.com/file/d/1-5DKMfHr-CgWPiHoUTLfNf_KaHHgOdkt/view?usp=drivesdk" TargetMode="External"/><Relationship Id="rId198" Type="http://schemas.openxmlformats.org/officeDocument/2006/relationships/hyperlink" Target="https://drive.google.com/uc?export=view&amp;id=1jQx50PaFRFZcitsm87LjbzGMSyC0-uPC" TargetMode="External"/><Relationship Id="rId197" Type="http://schemas.openxmlformats.org/officeDocument/2006/relationships/hyperlink" Target="https://drive.google.com/file/d/1jQx50PaFRFZcitsm87LjbzGMSyC0-uPC/view?usp=drivesdk" TargetMode="External"/><Relationship Id="rId196" Type="http://schemas.openxmlformats.org/officeDocument/2006/relationships/hyperlink" Target="https://drive.google.com/uc?export=view&amp;id=1u8eeOgAzxOAq_TiIKOxS3ycqB4mIpSyH" TargetMode="External"/><Relationship Id="rId195" Type="http://schemas.openxmlformats.org/officeDocument/2006/relationships/hyperlink" Target="https://drive.google.com/file/d/1u8eeOgAzxOAq_TiIKOxS3ycqB4mIpSyH/view?usp=drivesdk" TargetMode="External"/><Relationship Id="rId199" Type="http://schemas.openxmlformats.org/officeDocument/2006/relationships/hyperlink" Target="https://drive.google.com/file/d/1Esx0FXr0ulpGFH3FMwn1Q6e6JgMq0WLD/view?usp=drivesdk" TargetMode="External"/><Relationship Id="rId150" Type="http://schemas.openxmlformats.org/officeDocument/2006/relationships/hyperlink" Target="https://drive.google.com/uc?export=view&amp;id=1GqAF0Adp5yZK4Ii2DdHdyVwoOD1ndn0z" TargetMode="External"/><Relationship Id="rId149" Type="http://schemas.openxmlformats.org/officeDocument/2006/relationships/hyperlink" Target="https://drive.google.com/file/d/1GqAF0Adp5yZK4Ii2DdHdyVwoOD1ndn0z/view?usp=drivesdk" TargetMode="External"/><Relationship Id="rId148" Type="http://schemas.openxmlformats.org/officeDocument/2006/relationships/hyperlink" Target="https://drive.google.com/uc?export=view&amp;id=1FIENA6mdqSQ3iN5yN1agnIYhjmB5Q1jX" TargetMode="External"/><Relationship Id="rId1090" Type="http://schemas.openxmlformats.org/officeDocument/2006/relationships/hyperlink" Target="https://drive.google.com/uc?export=view&amp;id=1FMzb0LKlsf3Rv-bW14WQ0YnizQLV-J0U" TargetMode="External"/><Relationship Id="rId1091" Type="http://schemas.openxmlformats.org/officeDocument/2006/relationships/hyperlink" Target="https://drive.google.com/file/d/1U2Y31uD3o6darn73_TsTLUMEt3VcKR9I/view?usp=drivesdk" TargetMode="External"/><Relationship Id="rId1092" Type="http://schemas.openxmlformats.org/officeDocument/2006/relationships/hyperlink" Target="https://drive.google.com/uc?export=view&amp;id=1U2Y31uD3o6darn73_TsTLUMEt3VcKR9I" TargetMode="External"/><Relationship Id="rId1093" Type="http://schemas.openxmlformats.org/officeDocument/2006/relationships/hyperlink" Target="https://drive.google.com/file/d/1V3ZFlcb5RovaeVI4EB8hvOTZ8JLJLCgc/view?usp=drivesdk" TargetMode="External"/><Relationship Id="rId1094" Type="http://schemas.openxmlformats.org/officeDocument/2006/relationships/hyperlink" Target="https://drive.google.com/uc?export=view&amp;id=1V3ZFlcb5RovaeVI4EB8hvOTZ8JLJLCgc" TargetMode="External"/><Relationship Id="rId143" Type="http://schemas.openxmlformats.org/officeDocument/2006/relationships/hyperlink" Target="https://drive.google.com/file/d/14VrXFU6vVr-R2_3xH8SGfoquzSb4Vghg/view?usp=drivesdk" TargetMode="External"/><Relationship Id="rId1095" Type="http://schemas.openxmlformats.org/officeDocument/2006/relationships/hyperlink" Target="https://drive.google.com/file/d/1GUzRR6trOQUt66RZcSvEmxx03EnSipKs/view?usp=drivesdk" TargetMode="External"/><Relationship Id="rId142" Type="http://schemas.openxmlformats.org/officeDocument/2006/relationships/hyperlink" Target="https://drive.google.com/uc?export=view&amp;id=15GvOUZ4Bi4TWr38FNDdVsxQBtndGsipV" TargetMode="External"/><Relationship Id="rId1096" Type="http://schemas.openxmlformats.org/officeDocument/2006/relationships/hyperlink" Target="https://drive.google.com/uc?export=view&amp;id=1GUzRR6trOQUt66RZcSvEmxx03EnSipKs" TargetMode="External"/><Relationship Id="rId141" Type="http://schemas.openxmlformats.org/officeDocument/2006/relationships/hyperlink" Target="https://drive.google.com/file/d/15GvOUZ4Bi4TWr38FNDdVsxQBtndGsipV/view?usp=drivesdk" TargetMode="External"/><Relationship Id="rId1097" Type="http://schemas.openxmlformats.org/officeDocument/2006/relationships/hyperlink" Target="https://drive.google.com/file/d/1ZTrPtGomdQ-aLKyOPNpztL8I5kndCFJt/view?usp=drivesdk" TargetMode="External"/><Relationship Id="rId140" Type="http://schemas.openxmlformats.org/officeDocument/2006/relationships/hyperlink" Target="https://drive.google.com/uc?export=view&amp;id=1zT-oiukZYjTcde1Rf2LRmyPq6FK0AQ5s" TargetMode="External"/><Relationship Id="rId1098" Type="http://schemas.openxmlformats.org/officeDocument/2006/relationships/hyperlink" Target="https://drive.google.com/uc?export=view&amp;id=1ZTrPtGomdQ-aLKyOPNpztL8I5kndCFJt" TargetMode="External"/><Relationship Id="rId147" Type="http://schemas.openxmlformats.org/officeDocument/2006/relationships/hyperlink" Target="https://drive.google.com/file/d/1FIENA6mdqSQ3iN5yN1agnIYhjmB5Q1jX/view?usp=drivesdk" TargetMode="External"/><Relationship Id="rId1099" Type="http://schemas.openxmlformats.org/officeDocument/2006/relationships/hyperlink" Target="https://drive.google.com/file/d/1dbptzwl3NTJ-cWqwQXl1y8rJzwot8iHp/view?usp=drivesdk" TargetMode="External"/><Relationship Id="rId146" Type="http://schemas.openxmlformats.org/officeDocument/2006/relationships/hyperlink" Target="https://drive.google.com/uc?export=view&amp;id=1XOxEMCy0h-arfa37orUCuUqFEP62iOvu" TargetMode="External"/><Relationship Id="rId145" Type="http://schemas.openxmlformats.org/officeDocument/2006/relationships/hyperlink" Target="https://drive.google.com/file/d/1XOxEMCy0h-arfa37orUCuUqFEP62iOvu/view?usp=drivesdk" TargetMode="External"/><Relationship Id="rId144" Type="http://schemas.openxmlformats.org/officeDocument/2006/relationships/hyperlink" Target="https://drive.google.com/uc?export=view&amp;id=14VrXFU6vVr-R2_3xH8SGfoquzSb4Vghg" TargetMode="External"/><Relationship Id="rId139" Type="http://schemas.openxmlformats.org/officeDocument/2006/relationships/hyperlink" Target="https://drive.google.com/file/d/1zT-oiukZYjTcde1Rf2LRmyPq6FK0AQ5s/view?usp=drivesdk" TargetMode="External"/><Relationship Id="rId138" Type="http://schemas.openxmlformats.org/officeDocument/2006/relationships/hyperlink" Target="https://drive.google.com/uc?export=view&amp;id=18X1visHfCshDS4oBdseRaWg6JtWKBXoN" TargetMode="External"/><Relationship Id="rId137" Type="http://schemas.openxmlformats.org/officeDocument/2006/relationships/hyperlink" Target="https://drive.google.com/file/d/18X1visHfCshDS4oBdseRaWg6JtWKBXoN/view?usp=drivesdk" TargetMode="External"/><Relationship Id="rId1080" Type="http://schemas.openxmlformats.org/officeDocument/2006/relationships/hyperlink" Target="https://drive.google.com/uc?export=view&amp;id=1I-cjTzPW0r5WVA-We0KW4HdbsC_C-ppH" TargetMode="External"/><Relationship Id="rId1081" Type="http://schemas.openxmlformats.org/officeDocument/2006/relationships/hyperlink" Target="https://drive.google.com/file/d/1yciOSM9MZjv6IRTQAxihBUWZ3NGeK8Ut/view?usp=drivesdk" TargetMode="External"/><Relationship Id="rId1082" Type="http://schemas.openxmlformats.org/officeDocument/2006/relationships/hyperlink" Target="https://drive.google.com/uc?export=view&amp;id=1yciOSM9MZjv6IRTQAxihBUWZ3NGeK8Ut" TargetMode="External"/><Relationship Id="rId1083" Type="http://schemas.openxmlformats.org/officeDocument/2006/relationships/hyperlink" Target="https://drive.google.com/file/d/1BrFI83qYoK5D8SC3pT8Kpx4ryUjLQeKq/view?usp=drivesdk" TargetMode="External"/><Relationship Id="rId132" Type="http://schemas.openxmlformats.org/officeDocument/2006/relationships/hyperlink" Target="https://drive.google.com/uc?export=view&amp;id=1Fe-WkWlpigZVNb8wM2e2yULS0Tk-TRmn" TargetMode="External"/><Relationship Id="rId1084" Type="http://schemas.openxmlformats.org/officeDocument/2006/relationships/hyperlink" Target="https://drive.google.com/uc?export=view&amp;id=1BrFI83qYoK5D8SC3pT8Kpx4ryUjLQeKq" TargetMode="External"/><Relationship Id="rId131" Type="http://schemas.openxmlformats.org/officeDocument/2006/relationships/hyperlink" Target="https://drive.google.com/file/d/1Fe-WkWlpigZVNb8wM2e2yULS0Tk-TRmn/view?usp=drivesdk" TargetMode="External"/><Relationship Id="rId1085" Type="http://schemas.openxmlformats.org/officeDocument/2006/relationships/hyperlink" Target="https://drive.google.com/file/d/1SudasFtqDjbLwAaTJel6DO01SG1quL02/view?usp=drivesdk" TargetMode="External"/><Relationship Id="rId130" Type="http://schemas.openxmlformats.org/officeDocument/2006/relationships/hyperlink" Target="https://drive.google.com/uc?export=view&amp;id=1_aW1mp6N7bBZgv1HLqKe0tjotiEcJXkd" TargetMode="External"/><Relationship Id="rId1086" Type="http://schemas.openxmlformats.org/officeDocument/2006/relationships/hyperlink" Target="https://drive.google.com/uc?export=view&amp;id=1SudasFtqDjbLwAaTJel6DO01SG1quL02" TargetMode="External"/><Relationship Id="rId1087" Type="http://schemas.openxmlformats.org/officeDocument/2006/relationships/hyperlink" Target="https://drive.google.com/file/d/1FMB5_O1mc7rF5iZPfAdc_Eq7pa8ol4sb/view?usp=drivesdk" TargetMode="External"/><Relationship Id="rId136" Type="http://schemas.openxmlformats.org/officeDocument/2006/relationships/hyperlink" Target="https://drive.google.com/uc?export=view&amp;id=1YZEnGF7lAcpxPma8rLQQsxpNYQi21RgU" TargetMode="External"/><Relationship Id="rId1088" Type="http://schemas.openxmlformats.org/officeDocument/2006/relationships/hyperlink" Target="https://drive.google.com/uc?export=view&amp;id=1FMB5_O1mc7rF5iZPfAdc_Eq7pa8ol4sb" TargetMode="External"/><Relationship Id="rId135" Type="http://schemas.openxmlformats.org/officeDocument/2006/relationships/hyperlink" Target="https://drive.google.com/file/d/1YZEnGF7lAcpxPma8rLQQsxpNYQi21RgU/view?usp=drivesdk" TargetMode="External"/><Relationship Id="rId1089" Type="http://schemas.openxmlformats.org/officeDocument/2006/relationships/hyperlink" Target="https://drive.google.com/file/d/1FMzb0LKlsf3Rv-bW14WQ0YnizQLV-J0U/view?usp=drivesdk" TargetMode="External"/><Relationship Id="rId134" Type="http://schemas.openxmlformats.org/officeDocument/2006/relationships/hyperlink" Target="https://drive.google.com/uc?export=view&amp;id=1vvuHTup_BuRaf7gsHAeL_3Jc9ivf_TaJ" TargetMode="External"/><Relationship Id="rId133" Type="http://schemas.openxmlformats.org/officeDocument/2006/relationships/hyperlink" Target="https://drive.google.com/file/d/1vvuHTup_BuRaf7gsHAeL_3Jc9ivf_TaJ/view?usp=drivesdk" TargetMode="External"/><Relationship Id="rId172" Type="http://schemas.openxmlformats.org/officeDocument/2006/relationships/hyperlink" Target="https://drive.google.com/uc?export=view&amp;id=1JqEySoO5qEWJ18jVi2ibWIfK7GbGpD74" TargetMode="External"/><Relationship Id="rId171" Type="http://schemas.openxmlformats.org/officeDocument/2006/relationships/hyperlink" Target="https://drive.google.com/file/d/1JqEySoO5qEWJ18jVi2ibWIfK7GbGpD74/view?usp=drivesdk" TargetMode="External"/><Relationship Id="rId170" Type="http://schemas.openxmlformats.org/officeDocument/2006/relationships/hyperlink" Target="https://drive.google.com/uc?export=view&amp;id=1Za5odkQiLxBviMSpIoOKAlgGLO0ikYd8" TargetMode="External"/><Relationship Id="rId165" Type="http://schemas.openxmlformats.org/officeDocument/2006/relationships/hyperlink" Target="https://drive.google.com/file/d/1ev85ECDMBqHD0sQdUsIDPhP84SW9Vfjh/view?usp=drivesdk" TargetMode="External"/><Relationship Id="rId164" Type="http://schemas.openxmlformats.org/officeDocument/2006/relationships/hyperlink" Target="https://drive.google.com/uc?export=view&amp;id=1N_E26X19ejvynRpq3glDfpcb3h9g2chz" TargetMode="External"/><Relationship Id="rId163" Type="http://schemas.openxmlformats.org/officeDocument/2006/relationships/hyperlink" Target="https://drive.google.com/file/d/1N_E26X19ejvynRpq3glDfpcb3h9g2chz/view?usp=drivesdk" TargetMode="External"/><Relationship Id="rId162" Type="http://schemas.openxmlformats.org/officeDocument/2006/relationships/hyperlink" Target="https://drive.google.com/uc?export=view&amp;id=1fIlrgssdiY6pA7QrIncwVBOdqfjeRpqh" TargetMode="External"/><Relationship Id="rId169" Type="http://schemas.openxmlformats.org/officeDocument/2006/relationships/hyperlink" Target="https://drive.google.com/file/d/1Za5odkQiLxBviMSpIoOKAlgGLO0ikYd8/view?usp=drivesdk" TargetMode="External"/><Relationship Id="rId168" Type="http://schemas.openxmlformats.org/officeDocument/2006/relationships/hyperlink" Target="https://drive.google.com/uc?export=view&amp;id=1qexK0cGykI3GmUPIpnkvcKqV4hxEdwcw" TargetMode="External"/><Relationship Id="rId167" Type="http://schemas.openxmlformats.org/officeDocument/2006/relationships/hyperlink" Target="https://drive.google.com/file/d/1qexK0cGykI3GmUPIpnkvcKqV4hxEdwcw/view?usp=drivesdk" TargetMode="External"/><Relationship Id="rId166" Type="http://schemas.openxmlformats.org/officeDocument/2006/relationships/hyperlink" Target="https://drive.google.com/uc?export=view&amp;id=1ev85ECDMBqHD0sQdUsIDPhP84SW9Vfjh" TargetMode="External"/><Relationship Id="rId161" Type="http://schemas.openxmlformats.org/officeDocument/2006/relationships/hyperlink" Target="https://drive.google.com/file/d/1fIlrgssdiY6pA7QrIncwVBOdqfjeRpqh/view?usp=drivesdk" TargetMode="External"/><Relationship Id="rId160" Type="http://schemas.openxmlformats.org/officeDocument/2006/relationships/hyperlink" Target="https://drive.google.com/uc?export=view&amp;id=1YHcLb-tUPNvV17CjY-HKLHElz7gjNqks" TargetMode="External"/><Relationship Id="rId159" Type="http://schemas.openxmlformats.org/officeDocument/2006/relationships/hyperlink" Target="https://drive.google.com/file/d/1YHcLb-tUPNvV17CjY-HKLHElz7gjNqks/view?usp=drivesdk" TargetMode="External"/><Relationship Id="rId154" Type="http://schemas.openxmlformats.org/officeDocument/2006/relationships/hyperlink" Target="https://drive.google.com/uc?export=view&amp;id=1VMunxpPftCaE9Ekl8RReDHVf9ci66hae" TargetMode="External"/><Relationship Id="rId153" Type="http://schemas.openxmlformats.org/officeDocument/2006/relationships/hyperlink" Target="https://drive.google.com/file/d/1VMunxpPftCaE9Ekl8RReDHVf9ci66hae/view?usp=drivesdk" TargetMode="External"/><Relationship Id="rId152" Type="http://schemas.openxmlformats.org/officeDocument/2006/relationships/hyperlink" Target="https://drive.google.com/uc?export=view&amp;id=1Bti7nB2XFDmr2xSYnb4YNv-prdERORVD" TargetMode="External"/><Relationship Id="rId151" Type="http://schemas.openxmlformats.org/officeDocument/2006/relationships/hyperlink" Target="https://drive.google.com/file/d/1Bti7nB2XFDmr2xSYnb4YNv-prdERORVD/view?usp=drivesdk" TargetMode="External"/><Relationship Id="rId158" Type="http://schemas.openxmlformats.org/officeDocument/2006/relationships/hyperlink" Target="https://drive.google.com/uc?export=view&amp;id=1IHmZl_kTebtI7oEicq9itFBJVs_EqDYo" TargetMode="External"/><Relationship Id="rId157" Type="http://schemas.openxmlformats.org/officeDocument/2006/relationships/hyperlink" Target="https://drive.google.com/file/d/1IHmZl_kTebtI7oEicq9itFBJVs_EqDYo/view?usp=drivesdk" TargetMode="External"/><Relationship Id="rId156" Type="http://schemas.openxmlformats.org/officeDocument/2006/relationships/hyperlink" Target="https://drive.google.com/uc?export=view&amp;id=1fH5lTo8iQTQdmttNKacfHj-sFK1xaoMQ" TargetMode="External"/><Relationship Id="rId155" Type="http://schemas.openxmlformats.org/officeDocument/2006/relationships/hyperlink" Target="https://drive.google.com/file/d/1fH5lTo8iQTQdmttNKacfHj-sFK1xaoMQ/view?usp=drivesdk" TargetMode="External"/><Relationship Id="rId1510" Type="http://schemas.openxmlformats.org/officeDocument/2006/relationships/hyperlink" Target="https://drive.google.com/uc?export=view&amp;id=1YYt3FUD__yH2ga3La2DOV2e_vuiK1Rbx" TargetMode="External"/><Relationship Id="rId1511" Type="http://schemas.openxmlformats.org/officeDocument/2006/relationships/hyperlink" Target="https://drive.google.com/file/d/1NEVKS0vAc5E33Z8z9cDht7UZMQck6h47/view?usp=drivesdk" TargetMode="External"/><Relationship Id="rId1512" Type="http://schemas.openxmlformats.org/officeDocument/2006/relationships/hyperlink" Target="https://drive.google.com/uc?export=view&amp;id=1NEVKS0vAc5E33Z8z9cDht7UZMQck6h47" TargetMode="External"/><Relationship Id="rId1513" Type="http://schemas.openxmlformats.org/officeDocument/2006/relationships/hyperlink" Target="https://drive.google.com/file/d/161klJ-DMq58Ny-LekhfEA34HaaS231lw/view?usp=drivesdk" TargetMode="External"/><Relationship Id="rId1514" Type="http://schemas.openxmlformats.org/officeDocument/2006/relationships/hyperlink" Target="https://drive.google.com/uc?export=view&amp;id=161klJ-DMq58Ny-LekhfEA34HaaS231lw" TargetMode="External"/><Relationship Id="rId1515" Type="http://schemas.openxmlformats.org/officeDocument/2006/relationships/hyperlink" Target="https://drive.google.com/file/d/1CFFuNDVkYh7LVCdDn2Ls1vnAq-NaPrda/view?usp=drivesdk" TargetMode="External"/><Relationship Id="rId1516" Type="http://schemas.openxmlformats.org/officeDocument/2006/relationships/hyperlink" Target="https://drive.google.com/uc?export=view&amp;id=1CFFuNDVkYh7LVCdDn2Ls1vnAq-NaPrda" TargetMode="External"/><Relationship Id="rId1517" Type="http://schemas.openxmlformats.org/officeDocument/2006/relationships/hyperlink" Target="https://drive.google.com/file/d/1ipZGRSvtnlvQ61MKJEHy9oQU-wUeeyEa/view?usp=drivesdk" TargetMode="External"/><Relationship Id="rId1518" Type="http://schemas.openxmlformats.org/officeDocument/2006/relationships/hyperlink" Target="https://drive.google.com/uc?export=view&amp;id=1ipZGRSvtnlvQ61MKJEHy9oQU-wUeeyEa" TargetMode="External"/><Relationship Id="rId1519" Type="http://schemas.openxmlformats.org/officeDocument/2006/relationships/hyperlink" Target="https://drive.google.com/file/d/1nWoUm9CYGPe9JfjISQkzeQluvhMN-X4O/view?usp=drivesdk" TargetMode="External"/><Relationship Id="rId1500" Type="http://schemas.openxmlformats.org/officeDocument/2006/relationships/hyperlink" Target="https://drive.google.com/uc?export=view&amp;id=1a43Yi13MJdJ-XoVgN_NXE4NJDpfGCJ4n" TargetMode="External"/><Relationship Id="rId1501" Type="http://schemas.openxmlformats.org/officeDocument/2006/relationships/hyperlink" Target="https://drive.google.com/file/d/1uGnrm82YVkMJ8VvmhUuOliHwROmeVATx/view?usp=drivesdk" TargetMode="External"/><Relationship Id="rId1502" Type="http://schemas.openxmlformats.org/officeDocument/2006/relationships/hyperlink" Target="https://drive.google.com/uc?export=view&amp;id=1uGnrm82YVkMJ8VvmhUuOliHwROmeVATx" TargetMode="External"/><Relationship Id="rId1503" Type="http://schemas.openxmlformats.org/officeDocument/2006/relationships/hyperlink" Target="https://drive.google.com/file/d/1egkmmOiIfLaXEclBUkuRqLb9J7KfKF73/view?usp=drivesdk" TargetMode="External"/><Relationship Id="rId1504" Type="http://schemas.openxmlformats.org/officeDocument/2006/relationships/hyperlink" Target="https://drive.google.com/uc?export=view&amp;id=1egkmmOiIfLaXEclBUkuRqLb9J7KfKF73" TargetMode="External"/><Relationship Id="rId1505" Type="http://schemas.openxmlformats.org/officeDocument/2006/relationships/hyperlink" Target="https://drive.google.com/file/d/13bo-c4LjMR5wYl7b7CREnS5MCgfRftrp/view?usp=drivesdk" TargetMode="External"/><Relationship Id="rId1506" Type="http://schemas.openxmlformats.org/officeDocument/2006/relationships/hyperlink" Target="https://drive.google.com/uc?export=view&amp;id=13bo-c4LjMR5wYl7b7CREnS5MCgfRftrp" TargetMode="External"/><Relationship Id="rId1507" Type="http://schemas.openxmlformats.org/officeDocument/2006/relationships/hyperlink" Target="https://drive.google.com/file/d/1AHvKpoHfTqIJ9K6ZTf2pD_vPMhQp8OI-/view?usp=drivesdk" TargetMode="External"/><Relationship Id="rId1508" Type="http://schemas.openxmlformats.org/officeDocument/2006/relationships/hyperlink" Target="https://drive.google.com/uc?export=view&amp;id=1AHvKpoHfTqIJ9K6ZTf2pD_vPMhQp8OI-" TargetMode="External"/><Relationship Id="rId1509" Type="http://schemas.openxmlformats.org/officeDocument/2006/relationships/hyperlink" Target="https://drive.google.com/file/d/1YYt3FUD__yH2ga3La2DOV2e_vuiK1Rbx/view?usp=drivesdk" TargetMode="External"/><Relationship Id="rId1576" Type="http://schemas.openxmlformats.org/officeDocument/2006/relationships/hyperlink" Target="https://drive.google.com/uc?export=view&amp;id=1impoyutkdVIuINw58qELfK3xXh8jY32A" TargetMode="External"/><Relationship Id="rId1577" Type="http://schemas.openxmlformats.org/officeDocument/2006/relationships/hyperlink" Target="https://drive.google.com/file/d/1EloKA3Yn-kU3B-ZDgZWpi_Cozw9FuXPF/view?usp=drivesdk" TargetMode="External"/><Relationship Id="rId1578" Type="http://schemas.openxmlformats.org/officeDocument/2006/relationships/hyperlink" Target="https://drive.google.com/uc?export=view&amp;id=1EloKA3Yn-kU3B-ZDgZWpi_Cozw9FuXPF" TargetMode="External"/><Relationship Id="rId1579" Type="http://schemas.openxmlformats.org/officeDocument/2006/relationships/hyperlink" Target="https://drive.google.com/file/d/1VFaW7dmsD6C-MMQeQyi2HEQquPsxqUUs/view?usp=drivesdk" TargetMode="External"/><Relationship Id="rId509" Type="http://schemas.openxmlformats.org/officeDocument/2006/relationships/hyperlink" Target="https://drive.google.com/file/d/1nzaicBaf76uTgJ73SIRU_QZQQPTEWbU0/view?usp=drivesdk" TargetMode="External"/><Relationship Id="rId508" Type="http://schemas.openxmlformats.org/officeDocument/2006/relationships/hyperlink" Target="https://drive.google.com/uc?export=view&amp;id=1-yCBhtZuAz3_KOA0SakD23D2tX761sV8" TargetMode="External"/><Relationship Id="rId503" Type="http://schemas.openxmlformats.org/officeDocument/2006/relationships/hyperlink" Target="https://drive.google.com/file/d/188odjSnMZuyv5q2aeyMfM5grggf_GeLN/view?usp=drivesdk" TargetMode="External"/><Relationship Id="rId987" Type="http://schemas.openxmlformats.org/officeDocument/2006/relationships/hyperlink" Target="https://drive.google.com/file/d/1CN38-cfD5WZkHcIebcO-wINMCBKoljkJ/view?usp=drivesdk" TargetMode="External"/><Relationship Id="rId502" Type="http://schemas.openxmlformats.org/officeDocument/2006/relationships/hyperlink" Target="https://drive.google.com/uc?export=view&amp;id=1BaGeGDjhyO3RE8YbkFdDTKnjCSeiQ16J" TargetMode="External"/><Relationship Id="rId986" Type="http://schemas.openxmlformats.org/officeDocument/2006/relationships/hyperlink" Target="https://drive.google.com/uc?export=view&amp;id=1BHjf3a4o4HkPiM-vIK3BGsP9GRT7sPmv" TargetMode="External"/><Relationship Id="rId501" Type="http://schemas.openxmlformats.org/officeDocument/2006/relationships/hyperlink" Target="https://drive.google.com/file/d/1BaGeGDjhyO3RE8YbkFdDTKnjCSeiQ16J/view?usp=drivesdk" TargetMode="External"/><Relationship Id="rId985" Type="http://schemas.openxmlformats.org/officeDocument/2006/relationships/hyperlink" Target="https://drive.google.com/file/d/1BHjf3a4o4HkPiM-vIK3BGsP9GRT7sPmv/view?usp=drivesdk" TargetMode="External"/><Relationship Id="rId500" Type="http://schemas.openxmlformats.org/officeDocument/2006/relationships/hyperlink" Target="https://drive.google.com/uc?export=view&amp;id=1vyHmJJly3aIunks7reWZp1dfblzBwugN" TargetMode="External"/><Relationship Id="rId984" Type="http://schemas.openxmlformats.org/officeDocument/2006/relationships/hyperlink" Target="https://drive.google.com/uc?export=view&amp;id=1t9x0Fov-O94pjrXGrc15pnycoK6P0nXw" TargetMode="External"/><Relationship Id="rId507" Type="http://schemas.openxmlformats.org/officeDocument/2006/relationships/hyperlink" Target="https://drive.google.com/file/d/1-yCBhtZuAz3_KOA0SakD23D2tX761sV8/view?usp=drivesdk" TargetMode="External"/><Relationship Id="rId506" Type="http://schemas.openxmlformats.org/officeDocument/2006/relationships/hyperlink" Target="https://drive.google.com/uc?export=view&amp;id=1a_5yFSLmK1JMRu6EFu0VpkI2zTm1hXyj" TargetMode="External"/><Relationship Id="rId505" Type="http://schemas.openxmlformats.org/officeDocument/2006/relationships/hyperlink" Target="https://drive.google.com/file/d/1a_5yFSLmK1JMRu6EFu0VpkI2zTm1hXyj/view?usp=drivesdk" TargetMode="External"/><Relationship Id="rId989" Type="http://schemas.openxmlformats.org/officeDocument/2006/relationships/hyperlink" Target="https://drive.google.com/file/d/1dP_fWpt5OkCcHPyhpKMW2JpfmLLPAgfz/view?usp=drivesdk" TargetMode="External"/><Relationship Id="rId504" Type="http://schemas.openxmlformats.org/officeDocument/2006/relationships/hyperlink" Target="https://drive.google.com/uc?export=view&amp;id=188odjSnMZuyv5q2aeyMfM5grggf_GeLN" TargetMode="External"/><Relationship Id="rId988" Type="http://schemas.openxmlformats.org/officeDocument/2006/relationships/hyperlink" Target="https://drive.google.com/uc?export=view&amp;id=1CN38-cfD5WZkHcIebcO-wINMCBKoljkJ" TargetMode="External"/><Relationship Id="rId1570" Type="http://schemas.openxmlformats.org/officeDocument/2006/relationships/hyperlink" Target="https://drive.google.com/uc?export=view&amp;id=1O2E8j3ni4ovGSRNb1_kgzk3Kt7cEZe55" TargetMode="External"/><Relationship Id="rId1571" Type="http://schemas.openxmlformats.org/officeDocument/2006/relationships/hyperlink" Target="https://drive.google.com/file/d/1EAJv1JgMY3s7ClBPcSj0-wDld-UP2mR3/view?usp=drivesdk" TargetMode="External"/><Relationship Id="rId983" Type="http://schemas.openxmlformats.org/officeDocument/2006/relationships/hyperlink" Target="https://drive.google.com/file/d/1t9x0Fov-O94pjrXGrc15pnycoK6P0nXw/view?usp=drivesdk" TargetMode="External"/><Relationship Id="rId1572" Type="http://schemas.openxmlformats.org/officeDocument/2006/relationships/hyperlink" Target="https://drive.google.com/uc?export=view&amp;id=1EAJv1JgMY3s7ClBPcSj0-wDld-UP2mR3" TargetMode="External"/><Relationship Id="rId982" Type="http://schemas.openxmlformats.org/officeDocument/2006/relationships/hyperlink" Target="https://drive.google.com/uc?export=view&amp;id=1n0IAOmk6qKU6E6OmICHZ7eMinLG1SKmh" TargetMode="External"/><Relationship Id="rId1573" Type="http://schemas.openxmlformats.org/officeDocument/2006/relationships/hyperlink" Target="https://drive.google.com/file/d/1Vu0fMuo3prZbMYE1ImsMcRPBDkegafSi/view?usp=drivesdk" TargetMode="External"/><Relationship Id="rId981" Type="http://schemas.openxmlformats.org/officeDocument/2006/relationships/hyperlink" Target="https://drive.google.com/file/d/1n0IAOmk6qKU6E6OmICHZ7eMinLG1SKmh/view?usp=drivesdk" TargetMode="External"/><Relationship Id="rId1574" Type="http://schemas.openxmlformats.org/officeDocument/2006/relationships/hyperlink" Target="https://drive.google.com/uc?export=view&amp;id=1Vu0fMuo3prZbMYE1ImsMcRPBDkegafSi" TargetMode="External"/><Relationship Id="rId980" Type="http://schemas.openxmlformats.org/officeDocument/2006/relationships/hyperlink" Target="https://drive.google.com/uc?export=view&amp;id=1mAQ75I5Q_AywE-PvVvI01t4BKZMz9pq1" TargetMode="External"/><Relationship Id="rId1575" Type="http://schemas.openxmlformats.org/officeDocument/2006/relationships/hyperlink" Target="https://drive.google.com/file/d/1impoyutkdVIuINw58qELfK3xXh8jY32A/view?usp=drivesdk" TargetMode="External"/><Relationship Id="rId1565" Type="http://schemas.openxmlformats.org/officeDocument/2006/relationships/hyperlink" Target="https://drive.google.com/file/d/1X1fSyTpIOHlg5HVPxXVSMozSpRk4WDOP/view?usp=drivesdk" TargetMode="External"/><Relationship Id="rId1566" Type="http://schemas.openxmlformats.org/officeDocument/2006/relationships/hyperlink" Target="https://drive.google.com/uc?export=view&amp;id=1X1fSyTpIOHlg5HVPxXVSMozSpRk4WDOP" TargetMode="External"/><Relationship Id="rId1567" Type="http://schemas.openxmlformats.org/officeDocument/2006/relationships/hyperlink" Target="https://drive.google.com/file/d/154DNqpK-dEsiBw-2A6DRZyV5KfC-fOSD/view?usp=drivesdk" TargetMode="External"/><Relationship Id="rId1568" Type="http://schemas.openxmlformats.org/officeDocument/2006/relationships/hyperlink" Target="https://drive.google.com/uc?export=view&amp;id=154DNqpK-dEsiBw-2A6DRZyV5KfC-fOSD" TargetMode="External"/><Relationship Id="rId1569" Type="http://schemas.openxmlformats.org/officeDocument/2006/relationships/hyperlink" Target="https://drive.google.com/file/d/1O2E8j3ni4ovGSRNb1_kgzk3Kt7cEZe55/view?usp=drivesdk" TargetMode="External"/><Relationship Id="rId976" Type="http://schemas.openxmlformats.org/officeDocument/2006/relationships/hyperlink" Target="https://drive.google.com/uc?export=view&amp;id=1I5fEpTIEZzaLsaJgZxcvkv2L81nUXg1F" TargetMode="External"/><Relationship Id="rId975" Type="http://schemas.openxmlformats.org/officeDocument/2006/relationships/hyperlink" Target="https://drive.google.com/file/d/1I5fEpTIEZzaLsaJgZxcvkv2L81nUXg1F/view?usp=drivesdk" TargetMode="External"/><Relationship Id="rId974" Type="http://schemas.openxmlformats.org/officeDocument/2006/relationships/hyperlink" Target="https://drive.google.com/uc?export=view&amp;id=1MA36gZBmepFVyydjCpIqlyQQgRg78v0q" TargetMode="External"/><Relationship Id="rId973" Type="http://schemas.openxmlformats.org/officeDocument/2006/relationships/hyperlink" Target="https://drive.google.com/file/d/1MA36gZBmepFVyydjCpIqlyQQgRg78v0q/view?usp=drivesdk" TargetMode="External"/><Relationship Id="rId979" Type="http://schemas.openxmlformats.org/officeDocument/2006/relationships/hyperlink" Target="https://drive.google.com/file/d/1mAQ75I5Q_AywE-PvVvI01t4BKZMz9pq1/view?usp=drivesdk" TargetMode="External"/><Relationship Id="rId978" Type="http://schemas.openxmlformats.org/officeDocument/2006/relationships/hyperlink" Target="https://drive.google.com/uc?export=view&amp;id=1Wd_2Vgzy95dcTBTs1c_a9yX3c7Cm01ou" TargetMode="External"/><Relationship Id="rId977" Type="http://schemas.openxmlformats.org/officeDocument/2006/relationships/hyperlink" Target="https://drive.google.com/file/d/1Wd_2Vgzy95dcTBTs1c_a9yX3c7Cm01ou/view?usp=drivesdk" TargetMode="External"/><Relationship Id="rId1560" Type="http://schemas.openxmlformats.org/officeDocument/2006/relationships/hyperlink" Target="https://drive.google.com/uc?export=view&amp;id=1YJXDTR45ZSY_FUBXpw-UywBgGrtOq34m" TargetMode="External"/><Relationship Id="rId972" Type="http://schemas.openxmlformats.org/officeDocument/2006/relationships/hyperlink" Target="https://drive.google.com/uc?export=view&amp;id=1H7DuTHJNssKJsGKmAUUcRVL_EjqvllJV" TargetMode="External"/><Relationship Id="rId1561" Type="http://schemas.openxmlformats.org/officeDocument/2006/relationships/hyperlink" Target="https://drive.google.com/file/d/1DywbpLQnB2qwuu5Kk6wO6m1fS_AyHCfX/view?usp=drivesdk" TargetMode="External"/><Relationship Id="rId971" Type="http://schemas.openxmlformats.org/officeDocument/2006/relationships/hyperlink" Target="https://drive.google.com/file/d/1H7DuTHJNssKJsGKmAUUcRVL_EjqvllJV/view?usp=drivesdk" TargetMode="External"/><Relationship Id="rId1562" Type="http://schemas.openxmlformats.org/officeDocument/2006/relationships/hyperlink" Target="https://drive.google.com/uc?export=view&amp;id=1DywbpLQnB2qwuu5Kk6wO6m1fS_AyHCfX" TargetMode="External"/><Relationship Id="rId970" Type="http://schemas.openxmlformats.org/officeDocument/2006/relationships/hyperlink" Target="https://drive.google.com/uc?export=view&amp;id=1YPoGSC23liLX7OQTFemOk12gkAvcfoda" TargetMode="External"/><Relationship Id="rId1563" Type="http://schemas.openxmlformats.org/officeDocument/2006/relationships/hyperlink" Target="https://drive.google.com/file/d/1NHom9Mfpo8XXlF3NUvyDyEoYvmH6Ht44/view?usp=drivesdk" TargetMode="External"/><Relationship Id="rId1564" Type="http://schemas.openxmlformats.org/officeDocument/2006/relationships/hyperlink" Target="https://drive.google.com/uc?export=view&amp;id=1NHom9Mfpo8XXlF3NUvyDyEoYvmH6Ht44" TargetMode="External"/><Relationship Id="rId1114" Type="http://schemas.openxmlformats.org/officeDocument/2006/relationships/hyperlink" Target="https://drive.google.com/uc?export=view&amp;id=11xoSDd9mQbhNQSS9nj-6XwFt7eokp5Vg" TargetMode="External"/><Relationship Id="rId1598" Type="http://schemas.openxmlformats.org/officeDocument/2006/relationships/hyperlink" Target="https://drive.google.com/uc?export=view&amp;id=1CqDjmFfTfQoBSwuBgc7FPmW6FywG-wxk" TargetMode="External"/><Relationship Id="rId1115" Type="http://schemas.openxmlformats.org/officeDocument/2006/relationships/hyperlink" Target="https://drive.google.com/file/d/1VRLFcGq39wl0IYzyo8rBCF2CfanoyXcm/view?usp=drivesdk" TargetMode="External"/><Relationship Id="rId1599" Type="http://schemas.openxmlformats.org/officeDocument/2006/relationships/hyperlink" Target="https://drive.google.com/file/d/1RMj4w24ikpGmjn647oFNdOsJpREhH6GZ/view?usp=drivesdk" TargetMode="External"/><Relationship Id="rId1116" Type="http://schemas.openxmlformats.org/officeDocument/2006/relationships/hyperlink" Target="https://drive.google.com/uc?export=view&amp;id=1VRLFcGq39wl0IYzyo8rBCF2CfanoyXcm" TargetMode="External"/><Relationship Id="rId1117" Type="http://schemas.openxmlformats.org/officeDocument/2006/relationships/hyperlink" Target="https://drive.google.com/file/d/1pdAgi2XCRHXnX5Z-fyPCMO3sRlFpjkDM/view?usp=drivesdk" TargetMode="External"/><Relationship Id="rId1118" Type="http://schemas.openxmlformats.org/officeDocument/2006/relationships/hyperlink" Target="https://drive.google.com/uc?export=view&amp;id=1pdAgi2XCRHXnX5Z-fyPCMO3sRlFpjkDM" TargetMode="External"/><Relationship Id="rId1119" Type="http://schemas.openxmlformats.org/officeDocument/2006/relationships/hyperlink" Target="https://drive.google.com/file/d/1lKJRbeaInwE_bcKF6DgBVjsS2C0wCxBY/view?usp=drivesdk" TargetMode="External"/><Relationship Id="rId525" Type="http://schemas.openxmlformats.org/officeDocument/2006/relationships/hyperlink" Target="https://drive.google.com/file/d/1ygTll700tkJp7Wc-cDijWmJuxaqS0p7H/view?usp=drivesdk" TargetMode="External"/><Relationship Id="rId524" Type="http://schemas.openxmlformats.org/officeDocument/2006/relationships/hyperlink" Target="https://drive.google.com/uc?export=view&amp;id=1-zqSms0ju8dvKQuPCCE4Wac8old219dH" TargetMode="External"/><Relationship Id="rId523" Type="http://schemas.openxmlformats.org/officeDocument/2006/relationships/hyperlink" Target="https://drive.google.com/file/d/1-zqSms0ju8dvKQuPCCE4Wac8old219dH/view?usp=drivesdk" TargetMode="External"/><Relationship Id="rId522" Type="http://schemas.openxmlformats.org/officeDocument/2006/relationships/hyperlink" Target="https://drive.google.com/uc?export=view&amp;id=14d9cOQD8FMP9H1PYX6tPzpO3z5h9LxV0" TargetMode="External"/><Relationship Id="rId529" Type="http://schemas.openxmlformats.org/officeDocument/2006/relationships/hyperlink" Target="https://drive.google.com/file/d/1IS9j2ED1ZSBgQWT7_bZ_8RjbAGQjw64j/view?usp=drivesdk" TargetMode="External"/><Relationship Id="rId528" Type="http://schemas.openxmlformats.org/officeDocument/2006/relationships/hyperlink" Target="https://drive.google.com/uc?export=view&amp;id=1B4tnDfTGBPqhBr2Cw1eb5jro3xsNUNGL" TargetMode="External"/><Relationship Id="rId527" Type="http://schemas.openxmlformats.org/officeDocument/2006/relationships/hyperlink" Target="https://drive.google.com/file/d/1B4tnDfTGBPqhBr2Cw1eb5jro3xsNUNGL/view?usp=drivesdk" TargetMode="External"/><Relationship Id="rId526" Type="http://schemas.openxmlformats.org/officeDocument/2006/relationships/hyperlink" Target="https://drive.google.com/uc?export=view&amp;id=1ygTll700tkJp7Wc-cDijWmJuxaqS0p7H" TargetMode="External"/><Relationship Id="rId1590" Type="http://schemas.openxmlformats.org/officeDocument/2006/relationships/hyperlink" Target="https://drive.google.com/uc?export=view&amp;id=1-FYr6HrECEw1V8H23DEzuwZwL_DPRnkU" TargetMode="External"/><Relationship Id="rId1591" Type="http://schemas.openxmlformats.org/officeDocument/2006/relationships/hyperlink" Target="https://drive.google.com/file/d/1YfBAznujkJQGIQdUtnV1i9ZCDe0nVLAs/view?usp=drivesdk" TargetMode="External"/><Relationship Id="rId1592" Type="http://schemas.openxmlformats.org/officeDocument/2006/relationships/hyperlink" Target="https://drive.google.com/uc?export=view&amp;id=1YfBAznujkJQGIQdUtnV1i9ZCDe0nVLAs" TargetMode="External"/><Relationship Id="rId1593" Type="http://schemas.openxmlformats.org/officeDocument/2006/relationships/hyperlink" Target="https://drive.google.com/file/d/1jgCsKWxnZbWDYRqDyhrdq2Jk2YcT-Qms/view?usp=drivesdk" TargetMode="External"/><Relationship Id="rId521" Type="http://schemas.openxmlformats.org/officeDocument/2006/relationships/hyperlink" Target="https://drive.google.com/file/d/14d9cOQD8FMP9H1PYX6tPzpO3z5h9LxV0/view?usp=drivesdk" TargetMode="External"/><Relationship Id="rId1110" Type="http://schemas.openxmlformats.org/officeDocument/2006/relationships/hyperlink" Target="https://drive.google.com/uc?export=view&amp;id=1gy54tJJHdyh5lkYYazoIpBtBWOYrWRDE" TargetMode="External"/><Relationship Id="rId1594" Type="http://schemas.openxmlformats.org/officeDocument/2006/relationships/hyperlink" Target="https://drive.google.com/uc?export=view&amp;id=1jgCsKWxnZbWDYRqDyhrdq2Jk2YcT-Qms" TargetMode="External"/><Relationship Id="rId520" Type="http://schemas.openxmlformats.org/officeDocument/2006/relationships/hyperlink" Target="https://drive.google.com/uc?export=view&amp;id=1izWXowT81_WRZrj-W8pV2bZMxJSefxRN" TargetMode="External"/><Relationship Id="rId1111" Type="http://schemas.openxmlformats.org/officeDocument/2006/relationships/hyperlink" Target="https://drive.google.com/file/d/1Fia9cIwP3SGFVexKflGg1wtzasfld3Sr/view?usp=drivesdk" TargetMode="External"/><Relationship Id="rId1595" Type="http://schemas.openxmlformats.org/officeDocument/2006/relationships/hyperlink" Target="https://drive.google.com/file/d/1x9cPuTxLJXdRwI4WFiZurCyHKQgB1kO-/view?usp=drivesdk" TargetMode="External"/><Relationship Id="rId1112" Type="http://schemas.openxmlformats.org/officeDocument/2006/relationships/hyperlink" Target="https://drive.google.com/uc?export=view&amp;id=1Fia9cIwP3SGFVexKflGg1wtzasfld3Sr" TargetMode="External"/><Relationship Id="rId1596" Type="http://schemas.openxmlformats.org/officeDocument/2006/relationships/hyperlink" Target="https://drive.google.com/uc?export=view&amp;id=1x9cPuTxLJXdRwI4WFiZurCyHKQgB1kO-" TargetMode="External"/><Relationship Id="rId1113" Type="http://schemas.openxmlformats.org/officeDocument/2006/relationships/hyperlink" Target="https://drive.google.com/file/d/11xoSDd9mQbhNQSS9nj-6XwFt7eokp5Vg/view?usp=drivesdk" TargetMode="External"/><Relationship Id="rId1597" Type="http://schemas.openxmlformats.org/officeDocument/2006/relationships/hyperlink" Target="https://drive.google.com/file/d/1CqDjmFfTfQoBSwuBgc7FPmW6FywG-wxk/view?usp=drivesdk" TargetMode="External"/><Relationship Id="rId1103" Type="http://schemas.openxmlformats.org/officeDocument/2006/relationships/hyperlink" Target="https://drive.google.com/file/d/1nu2deYE_M31sViSUi1-UgxoxpnXU4xoe/view?usp=drivesdk" TargetMode="External"/><Relationship Id="rId1587" Type="http://schemas.openxmlformats.org/officeDocument/2006/relationships/hyperlink" Target="https://drive.google.com/file/d/1fxzEHvemxgBj29oCrvlNCvzbyXS-zYpx/view?usp=drivesdk" TargetMode="External"/><Relationship Id="rId1104" Type="http://schemas.openxmlformats.org/officeDocument/2006/relationships/hyperlink" Target="https://drive.google.com/uc?export=view&amp;id=1nu2deYE_M31sViSUi1-UgxoxpnXU4xoe" TargetMode="External"/><Relationship Id="rId1588" Type="http://schemas.openxmlformats.org/officeDocument/2006/relationships/hyperlink" Target="https://drive.google.com/uc?export=view&amp;id=1fxzEHvemxgBj29oCrvlNCvzbyXS-zYpx" TargetMode="External"/><Relationship Id="rId1105" Type="http://schemas.openxmlformats.org/officeDocument/2006/relationships/hyperlink" Target="https://drive.google.com/file/d/1Dunt_yGD5LAsxpzsXjqhauM4ikXqBqTq/view?usp=drivesdk" TargetMode="External"/><Relationship Id="rId1589" Type="http://schemas.openxmlformats.org/officeDocument/2006/relationships/hyperlink" Target="https://drive.google.com/file/d/1-FYr6HrECEw1V8H23DEzuwZwL_DPRnkU/view?usp=drivesdk" TargetMode="External"/><Relationship Id="rId1106" Type="http://schemas.openxmlformats.org/officeDocument/2006/relationships/hyperlink" Target="https://drive.google.com/uc?export=view&amp;id=1Dunt_yGD5LAsxpzsXjqhauM4ikXqBqTq" TargetMode="External"/><Relationship Id="rId1107" Type="http://schemas.openxmlformats.org/officeDocument/2006/relationships/hyperlink" Target="https://drive.google.com/file/d/1jPhtWPB0UKpU6-w0XGFSg66zq_V1dcmx/view?usp=drivesdk" TargetMode="External"/><Relationship Id="rId1108" Type="http://schemas.openxmlformats.org/officeDocument/2006/relationships/hyperlink" Target="https://drive.google.com/uc?export=view&amp;id=1jPhtWPB0UKpU6-w0XGFSg66zq_V1dcmx" TargetMode="External"/><Relationship Id="rId1109" Type="http://schemas.openxmlformats.org/officeDocument/2006/relationships/hyperlink" Target="https://drive.google.com/file/d/1gy54tJJHdyh5lkYYazoIpBtBWOYrWRDE/view?usp=drivesdk" TargetMode="External"/><Relationship Id="rId519" Type="http://schemas.openxmlformats.org/officeDocument/2006/relationships/hyperlink" Target="https://drive.google.com/file/d/1izWXowT81_WRZrj-W8pV2bZMxJSefxRN/view?usp=drivesdk" TargetMode="External"/><Relationship Id="rId514" Type="http://schemas.openxmlformats.org/officeDocument/2006/relationships/hyperlink" Target="https://drive.google.com/uc?export=view&amp;id=1nmCqLyAnYUkdt3cs-Ah-IHZx46ywq5Hs" TargetMode="External"/><Relationship Id="rId998" Type="http://schemas.openxmlformats.org/officeDocument/2006/relationships/hyperlink" Target="https://drive.google.com/uc?export=view&amp;id=1NYEG8fqrKLKirOGqTHR7WCC7x4-21bde" TargetMode="External"/><Relationship Id="rId513" Type="http://schemas.openxmlformats.org/officeDocument/2006/relationships/hyperlink" Target="https://drive.google.com/file/d/1nmCqLyAnYUkdt3cs-Ah-IHZx46ywq5Hs/view?usp=drivesdk" TargetMode="External"/><Relationship Id="rId997" Type="http://schemas.openxmlformats.org/officeDocument/2006/relationships/hyperlink" Target="https://drive.google.com/file/d/1NYEG8fqrKLKirOGqTHR7WCC7x4-21bde/view?usp=drivesdk" TargetMode="External"/><Relationship Id="rId512" Type="http://schemas.openxmlformats.org/officeDocument/2006/relationships/hyperlink" Target="https://drive.google.com/uc?export=view&amp;id=1EQ-VdqUdjVfYqdap_587PJaO7xy60cZQ" TargetMode="External"/><Relationship Id="rId996" Type="http://schemas.openxmlformats.org/officeDocument/2006/relationships/hyperlink" Target="https://drive.google.com/uc?export=view&amp;id=1JalMVjqUlbtfH0S8bsWEW31k28fQBVh0" TargetMode="External"/><Relationship Id="rId511" Type="http://schemas.openxmlformats.org/officeDocument/2006/relationships/hyperlink" Target="https://drive.google.com/file/d/1EQ-VdqUdjVfYqdap_587PJaO7xy60cZQ/view?usp=drivesdk" TargetMode="External"/><Relationship Id="rId995" Type="http://schemas.openxmlformats.org/officeDocument/2006/relationships/hyperlink" Target="https://drive.google.com/file/d/1JalMVjqUlbtfH0S8bsWEW31k28fQBVh0/view?usp=drivesdk" TargetMode="External"/><Relationship Id="rId518" Type="http://schemas.openxmlformats.org/officeDocument/2006/relationships/hyperlink" Target="https://drive.google.com/uc?export=view&amp;id=1QCFMz6gUDecfr7IQ4Tj7g7RnLHoq2IqN" TargetMode="External"/><Relationship Id="rId517" Type="http://schemas.openxmlformats.org/officeDocument/2006/relationships/hyperlink" Target="https://drive.google.com/file/d/1QCFMz6gUDecfr7IQ4Tj7g7RnLHoq2IqN/view?usp=drivesdk" TargetMode="External"/><Relationship Id="rId516" Type="http://schemas.openxmlformats.org/officeDocument/2006/relationships/hyperlink" Target="https://drive.google.com/uc?export=view&amp;id=1N1odSeTXiXlY0AnoYLZvYMjp19o00ZiB" TargetMode="External"/><Relationship Id="rId515" Type="http://schemas.openxmlformats.org/officeDocument/2006/relationships/hyperlink" Target="https://drive.google.com/file/d/1N1odSeTXiXlY0AnoYLZvYMjp19o00ZiB/view?usp=drivesdk" TargetMode="External"/><Relationship Id="rId999" Type="http://schemas.openxmlformats.org/officeDocument/2006/relationships/hyperlink" Target="https://drive.google.com/file/d/1sINMJGDfrB2K0jSBhlyOz21jngyhgJTD/view?usp=drivesdk" TargetMode="External"/><Relationship Id="rId990" Type="http://schemas.openxmlformats.org/officeDocument/2006/relationships/hyperlink" Target="https://drive.google.com/uc?export=view&amp;id=1dP_fWpt5OkCcHPyhpKMW2JpfmLLPAgfz" TargetMode="External"/><Relationship Id="rId1580" Type="http://schemas.openxmlformats.org/officeDocument/2006/relationships/hyperlink" Target="https://drive.google.com/uc?export=view&amp;id=1VFaW7dmsD6C-MMQeQyi2HEQquPsxqUUs" TargetMode="External"/><Relationship Id="rId1581" Type="http://schemas.openxmlformats.org/officeDocument/2006/relationships/hyperlink" Target="https://drive.google.com/file/d/1hPgEv8yck4W7dxN3_-5IPnbkwctitu2P/view?usp=drivesdk" TargetMode="External"/><Relationship Id="rId1582" Type="http://schemas.openxmlformats.org/officeDocument/2006/relationships/hyperlink" Target="https://drive.google.com/uc?export=view&amp;id=1hPgEv8yck4W7dxN3_-5IPnbkwctitu2P" TargetMode="External"/><Relationship Id="rId510" Type="http://schemas.openxmlformats.org/officeDocument/2006/relationships/hyperlink" Target="https://drive.google.com/uc?export=view&amp;id=1nzaicBaf76uTgJ73SIRU_QZQQPTEWbU0" TargetMode="External"/><Relationship Id="rId994" Type="http://schemas.openxmlformats.org/officeDocument/2006/relationships/hyperlink" Target="https://drive.google.com/uc?export=view&amp;id=118IjFZe6cnyZq4WjF1XGOMvOGDXviSUP" TargetMode="External"/><Relationship Id="rId1583" Type="http://schemas.openxmlformats.org/officeDocument/2006/relationships/hyperlink" Target="https://drive.google.com/file/d/1Ip8pirtY72h_vu47CNT1dydRCnS-RHOm/view?usp=drivesdk" TargetMode="External"/><Relationship Id="rId993" Type="http://schemas.openxmlformats.org/officeDocument/2006/relationships/hyperlink" Target="https://drive.google.com/file/d/118IjFZe6cnyZq4WjF1XGOMvOGDXviSUP/view?usp=drivesdk" TargetMode="External"/><Relationship Id="rId1100" Type="http://schemas.openxmlformats.org/officeDocument/2006/relationships/hyperlink" Target="https://drive.google.com/uc?export=view&amp;id=1dbptzwl3NTJ-cWqwQXl1y8rJzwot8iHp" TargetMode="External"/><Relationship Id="rId1584" Type="http://schemas.openxmlformats.org/officeDocument/2006/relationships/hyperlink" Target="https://drive.google.com/uc?export=view&amp;id=1Ip8pirtY72h_vu47CNT1dydRCnS-RHOm" TargetMode="External"/><Relationship Id="rId992" Type="http://schemas.openxmlformats.org/officeDocument/2006/relationships/hyperlink" Target="https://drive.google.com/uc?export=view&amp;id=1YM-n7yxGYr6dpRUeGdcIcEo3s_l4JIhg" TargetMode="External"/><Relationship Id="rId1101" Type="http://schemas.openxmlformats.org/officeDocument/2006/relationships/hyperlink" Target="https://drive.google.com/file/d/1C1coUlPU_A53Ky-r_rFJkfw2tbWOy68S/view?usp=drivesdk" TargetMode="External"/><Relationship Id="rId1585" Type="http://schemas.openxmlformats.org/officeDocument/2006/relationships/hyperlink" Target="https://drive.google.com/file/d/1QXpY_C-f4ai6COHcIp7rytEQ0GG_x1jW/view?usp=drivesdk" TargetMode="External"/><Relationship Id="rId991" Type="http://schemas.openxmlformats.org/officeDocument/2006/relationships/hyperlink" Target="https://drive.google.com/file/d/1YM-n7yxGYr6dpRUeGdcIcEo3s_l4JIhg/view?usp=drivesdk" TargetMode="External"/><Relationship Id="rId1102" Type="http://schemas.openxmlformats.org/officeDocument/2006/relationships/hyperlink" Target="https://drive.google.com/uc?export=view&amp;id=1C1coUlPU_A53Ky-r_rFJkfw2tbWOy68S" TargetMode="External"/><Relationship Id="rId1586" Type="http://schemas.openxmlformats.org/officeDocument/2006/relationships/hyperlink" Target="https://drive.google.com/uc?export=view&amp;id=1QXpY_C-f4ai6COHcIp7rytEQ0GG_x1jW" TargetMode="External"/><Relationship Id="rId1532" Type="http://schemas.openxmlformats.org/officeDocument/2006/relationships/hyperlink" Target="https://drive.google.com/uc?export=view&amp;id=1YYB6_uO0_WDhIFsDJ3UX_1Rtu73W4mow" TargetMode="External"/><Relationship Id="rId1533" Type="http://schemas.openxmlformats.org/officeDocument/2006/relationships/hyperlink" Target="https://drive.google.com/file/d/1mDj-LHQFWb82D9odGz5DE2JnGpqW52gB/view?usp=drivesdk" TargetMode="External"/><Relationship Id="rId1534" Type="http://schemas.openxmlformats.org/officeDocument/2006/relationships/hyperlink" Target="https://drive.google.com/uc?export=view&amp;id=1mDj-LHQFWb82D9odGz5DE2JnGpqW52gB" TargetMode="External"/><Relationship Id="rId1535" Type="http://schemas.openxmlformats.org/officeDocument/2006/relationships/hyperlink" Target="https://drive.google.com/file/d/1M7ZMUtOB3hUDgrpsHyu75IC5H_bap-Gl/view?usp=drivesdk" TargetMode="External"/><Relationship Id="rId1536" Type="http://schemas.openxmlformats.org/officeDocument/2006/relationships/hyperlink" Target="https://drive.google.com/uc?export=view&amp;id=1M7ZMUtOB3hUDgrpsHyu75IC5H_bap-Gl" TargetMode="External"/><Relationship Id="rId1537" Type="http://schemas.openxmlformats.org/officeDocument/2006/relationships/hyperlink" Target="https://drive.google.com/file/d/14gvzasbR-Opu8uLXaRVCzLzpmMHIZTTB/view?usp=drivesdk" TargetMode="External"/><Relationship Id="rId1538" Type="http://schemas.openxmlformats.org/officeDocument/2006/relationships/hyperlink" Target="https://drive.google.com/uc?export=view&amp;id=14gvzasbR-Opu8uLXaRVCzLzpmMHIZTTB" TargetMode="External"/><Relationship Id="rId1539" Type="http://schemas.openxmlformats.org/officeDocument/2006/relationships/hyperlink" Target="https://drive.google.com/file/d/1YlDgkIOqm5gVLebnzC2Om_M_e0CaOhGM/view?usp=drivesdk" TargetMode="External"/><Relationship Id="rId949" Type="http://schemas.openxmlformats.org/officeDocument/2006/relationships/hyperlink" Target="https://drive.google.com/file/d/167GLm59pI8NOs73uxn8PJQdssoQAOPQn/view?usp=drivesdk" TargetMode="External"/><Relationship Id="rId948" Type="http://schemas.openxmlformats.org/officeDocument/2006/relationships/hyperlink" Target="https://drive.google.com/uc?export=view&amp;id=1NfPGW8fgvaw9X6oOCuAjVPi-f5iBC_Rb" TargetMode="External"/><Relationship Id="rId943" Type="http://schemas.openxmlformats.org/officeDocument/2006/relationships/hyperlink" Target="https://drive.google.com/file/d/1dNqRxufn_zbgmy_ZPbLKzFTtZGhpFAoA/view?usp=drivesdk" TargetMode="External"/><Relationship Id="rId942" Type="http://schemas.openxmlformats.org/officeDocument/2006/relationships/hyperlink" Target="https://drive.google.com/uc?export=view&amp;id=1NenEi32986ScJHYRIqEVwPpk0GsMiEv2" TargetMode="External"/><Relationship Id="rId941" Type="http://schemas.openxmlformats.org/officeDocument/2006/relationships/hyperlink" Target="https://drive.google.com/file/d/1NenEi32986ScJHYRIqEVwPpk0GsMiEv2/view?usp=drivesdk" TargetMode="External"/><Relationship Id="rId940" Type="http://schemas.openxmlformats.org/officeDocument/2006/relationships/hyperlink" Target="https://drive.google.com/uc?export=view&amp;id=1hM9JpwWGKr-B5oOoo9kQmNN5Cc-UVbed" TargetMode="External"/><Relationship Id="rId947" Type="http://schemas.openxmlformats.org/officeDocument/2006/relationships/hyperlink" Target="https://drive.google.com/file/d/1NfPGW8fgvaw9X6oOCuAjVPi-f5iBC_Rb/view?usp=drivesdk" TargetMode="External"/><Relationship Id="rId946" Type="http://schemas.openxmlformats.org/officeDocument/2006/relationships/hyperlink" Target="https://drive.google.com/uc?export=view&amp;id=1DqStbTb2OYleZiZ1KkWu6A2BvQybjNMZ" TargetMode="External"/><Relationship Id="rId945" Type="http://schemas.openxmlformats.org/officeDocument/2006/relationships/hyperlink" Target="https://drive.google.com/file/d/1DqStbTb2OYleZiZ1KkWu6A2BvQybjNMZ/view?usp=drivesdk" TargetMode="External"/><Relationship Id="rId944" Type="http://schemas.openxmlformats.org/officeDocument/2006/relationships/hyperlink" Target="https://drive.google.com/uc?export=view&amp;id=1dNqRxufn_zbgmy_ZPbLKzFTtZGhpFAoA" TargetMode="External"/><Relationship Id="rId1530" Type="http://schemas.openxmlformats.org/officeDocument/2006/relationships/hyperlink" Target="https://drive.google.com/uc?export=view&amp;id=1weKAHlGwDHWkv0mx0Q4HAFlFWupwYWWL" TargetMode="External"/><Relationship Id="rId1531" Type="http://schemas.openxmlformats.org/officeDocument/2006/relationships/hyperlink" Target="https://drive.google.com/file/d/1YYB6_uO0_WDhIFsDJ3UX_1Rtu73W4mow/view?usp=drivesdk" TargetMode="External"/><Relationship Id="rId1521" Type="http://schemas.openxmlformats.org/officeDocument/2006/relationships/hyperlink" Target="https://drive.google.com/file/d/14PzKf4Vpk29v6gPFemBmZgscbOPMLBm2/view?usp=drivesdk" TargetMode="External"/><Relationship Id="rId1522" Type="http://schemas.openxmlformats.org/officeDocument/2006/relationships/hyperlink" Target="https://drive.google.com/uc?export=view&amp;id=14PzKf4Vpk29v6gPFemBmZgscbOPMLBm2" TargetMode="External"/><Relationship Id="rId1523" Type="http://schemas.openxmlformats.org/officeDocument/2006/relationships/hyperlink" Target="https://drive.google.com/file/d/1HvJP0IY3hrUgBzVD9lm3vPzifIES0xeR/view?usp=drivesdk" TargetMode="External"/><Relationship Id="rId1524" Type="http://schemas.openxmlformats.org/officeDocument/2006/relationships/hyperlink" Target="https://drive.google.com/uc?export=view&amp;id=1HvJP0IY3hrUgBzVD9lm3vPzifIES0xeR" TargetMode="External"/><Relationship Id="rId1525" Type="http://schemas.openxmlformats.org/officeDocument/2006/relationships/hyperlink" Target="https://drive.google.com/file/d/1TOv1xva0M7UOVyJOE4yQCPmOVinFIfM5/view?usp=drivesdk" TargetMode="External"/><Relationship Id="rId1526" Type="http://schemas.openxmlformats.org/officeDocument/2006/relationships/hyperlink" Target="https://drive.google.com/uc?export=view&amp;id=1TOv1xva0M7UOVyJOE4yQCPmOVinFIfM5" TargetMode="External"/><Relationship Id="rId1527" Type="http://schemas.openxmlformats.org/officeDocument/2006/relationships/hyperlink" Target="https://drive.google.com/file/d/10UqD9VWNdQNuQnqq912HB9zJ2-_WPY_Y/view?usp=drivesdk" TargetMode="External"/><Relationship Id="rId1528" Type="http://schemas.openxmlformats.org/officeDocument/2006/relationships/hyperlink" Target="https://drive.google.com/uc?export=view&amp;id=10UqD9VWNdQNuQnqq912HB9zJ2-_WPY_Y" TargetMode="External"/><Relationship Id="rId1529" Type="http://schemas.openxmlformats.org/officeDocument/2006/relationships/hyperlink" Target="https://drive.google.com/file/d/1weKAHlGwDHWkv0mx0Q4HAFlFWupwYWWL/view?usp=drivesdk" TargetMode="External"/><Relationship Id="rId939" Type="http://schemas.openxmlformats.org/officeDocument/2006/relationships/hyperlink" Target="https://drive.google.com/file/d/1hM9JpwWGKr-B5oOoo9kQmNN5Cc-UVbed/view?usp=drivesdk" TargetMode="External"/><Relationship Id="rId938" Type="http://schemas.openxmlformats.org/officeDocument/2006/relationships/hyperlink" Target="https://drive.google.com/uc?export=view&amp;id=1LXa0uRVWHeWXKR0aUY9m5jlzW_V8xQc9" TargetMode="External"/><Relationship Id="rId937" Type="http://schemas.openxmlformats.org/officeDocument/2006/relationships/hyperlink" Target="https://drive.google.com/file/d/1LXa0uRVWHeWXKR0aUY9m5jlzW_V8xQc9/view?usp=drivesdk" TargetMode="External"/><Relationship Id="rId932" Type="http://schemas.openxmlformats.org/officeDocument/2006/relationships/hyperlink" Target="https://drive.google.com/uc?export=view&amp;id=1phUBNQIfnUm4En0r2yL8mfpVDCV4mUln" TargetMode="External"/><Relationship Id="rId931" Type="http://schemas.openxmlformats.org/officeDocument/2006/relationships/hyperlink" Target="https://drive.google.com/file/d/1phUBNQIfnUm4En0r2yL8mfpVDCV4mUln/view?usp=drivesdk" TargetMode="External"/><Relationship Id="rId930" Type="http://schemas.openxmlformats.org/officeDocument/2006/relationships/hyperlink" Target="https://drive.google.com/uc?export=view&amp;id=1SiGz51S9uA6SemaywcrKX9bj_EYxzwaf" TargetMode="External"/><Relationship Id="rId936" Type="http://schemas.openxmlformats.org/officeDocument/2006/relationships/hyperlink" Target="https://drive.google.com/uc?export=view&amp;id=1zv0zojhwyqzdfxGz2sjJyAfr40gz3kbW" TargetMode="External"/><Relationship Id="rId935" Type="http://schemas.openxmlformats.org/officeDocument/2006/relationships/hyperlink" Target="https://drive.google.com/file/d/1zv0zojhwyqzdfxGz2sjJyAfr40gz3kbW/view?usp=drivesdk" TargetMode="External"/><Relationship Id="rId934" Type="http://schemas.openxmlformats.org/officeDocument/2006/relationships/hyperlink" Target="https://drive.google.com/uc?export=view&amp;id=1NA91jC0qRT0Yh0oGRsE3DPnWdY6v4L3r" TargetMode="External"/><Relationship Id="rId933" Type="http://schemas.openxmlformats.org/officeDocument/2006/relationships/hyperlink" Target="https://drive.google.com/file/d/1NA91jC0qRT0Yh0oGRsE3DPnWdY6v4L3r/view?usp=drivesdk" TargetMode="External"/><Relationship Id="rId1520" Type="http://schemas.openxmlformats.org/officeDocument/2006/relationships/hyperlink" Target="https://drive.google.com/uc?export=view&amp;id=1nWoUm9CYGPe9JfjISQkzeQluvhMN-X4O" TargetMode="External"/><Relationship Id="rId1554" Type="http://schemas.openxmlformats.org/officeDocument/2006/relationships/hyperlink" Target="https://drive.google.com/uc?export=view&amp;id=1tQJitECMesOhR2cbwBKZvBmr-XBRIlxS" TargetMode="External"/><Relationship Id="rId1555" Type="http://schemas.openxmlformats.org/officeDocument/2006/relationships/hyperlink" Target="https://drive.google.com/file/d/1eZuQPrNXvirnXGsXQq1gYCz3qtIf25a6/view?usp=drivesdk" TargetMode="External"/><Relationship Id="rId1556" Type="http://schemas.openxmlformats.org/officeDocument/2006/relationships/hyperlink" Target="https://drive.google.com/uc?export=view&amp;id=1eZuQPrNXvirnXGsXQq1gYCz3qtIf25a6" TargetMode="External"/><Relationship Id="rId1557" Type="http://schemas.openxmlformats.org/officeDocument/2006/relationships/hyperlink" Target="https://drive.google.com/file/d/108EcG5Ovv3_842ZP68qXhFegdNGr-48m/view?usp=drivesdk" TargetMode="External"/><Relationship Id="rId1558" Type="http://schemas.openxmlformats.org/officeDocument/2006/relationships/hyperlink" Target="https://drive.google.com/uc?export=view&amp;id=108EcG5Ovv3_842ZP68qXhFegdNGr-48m" TargetMode="External"/><Relationship Id="rId1559" Type="http://schemas.openxmlformats.org/officeDocument/2006/relationships/hyperlink" Target="https://drive.google.com/file/d/1YJXDTR45ZSY_FUBXpw-UywBgGrtOq34m/view?usp=drivesdk" TargetMode="External"/><Relationship Id="rId965" Type="http://schemas.openxmlformats.org/officeDocument/2006/relationships/hyperlink" Target="https://drive.google.com/file/d/1NIDybmVDt2bzu8tWYcm2qxOScJwkqbt9/view?usp=drivesdk" TargetMode="External"/><Relationship Id="rId964" Type="http://schemas.openxmlformats.org/officeDocument/2006/relationships/hyperlink" Target="https://drive.google.com/uc?export=view&amp;id=1CxNucdgc2VtMS5oxfkmJZ3i0snZwr-h0" TargetMode="External"/><Relationship Id="rId963" Type="http://schemas.openxmlformats.org/officeDocument/2006/relationships/hyperlink" Target="https://drive.google.com/file/d/1CxNucdgc2VtMS5oxfkmJZ3i0snZwr-h0/view?usp=drivesdk" TargetMode="External"/><Relationship Id="rId962" Type="http://schemas.openxmlformats.org/officeDocument/2006/relationships/hyperlink" Target="https://drive.google.com/uc?export=view&amp;id=1BtfMLlIe_g_RDufjy5eLb_OB_HHA2Ve4" TargetMode="External"/><Relationship Id="rId969" Type="http://schemas.openxmlformats.org/officeDocument/2006/relationships/hyperlink" Target="https://drive.google.com/file/d/1YPoGSC23liLX7OQTFemOk12gkAvcfoda/view?usp=drivesdk" TargetMode="External"/><Relationship Id="rId968" Type="http://schemas.openxmlformats.org/officeDocument/2006/relationships/hyperlink" Target="https://drive.google.com/uc?export=view&amp;id=1Zaaq8irR0ZdZ7aJrdLKdTeTaAHeIrmFg" TargetMode="External"/><Relationship Id="rId967" Type="http://schemas.openxmlformats.org/officeDocument/2006/relationships/hyperlink" Target="https://drive.google.com/file/d/1Zaaq8irR0ZdZ7aJrdLKdTeTaAHeIrmFg/view?usp=drivesdk" TargetMode="External"/><Relationship Id="rId966" Type="http://schemas.openxmlformats.org/officeDocument/2006/relationships/hyperlink" Target="https://drive.google.com/uc?export=view&amp;id=1NIDybmVDt2bzu8tWYcm2qxOScJwkqbt9" TargetMode="External"/><Relationship Id="rId961" Type="http://schemas.openxmlformats.org/officeDocument/2006/relationships/hyperlink" Target="https://drive.google.com/file/d/1BtfMLlIe_g_RDufjy5eLb_OB_HHA2Ve4/view?usp=drivesdk" TargetMode="External"/><Relationship Id="rId1550" Type="http://schemas.openxmlformats.org/officeDocument/2006/relationships/hyperlink" Target="https://drive.google.com/uc?export=view&amp;id=1W4xldxMPlbVHRfzHHs4s0ww9ApvF9GoE" TargetMode="External"/><Relationship Id="rId960" Type="http://schemas.openxmlformats.org/officeDocument/2006/relationships/hyperlink" Target="https://drive.google.com/uc?export=view&amp;id=1vcHBFVW63EcgwrdFDr-4VSh7OeVUz0SA" TargetMode="External"/><Relationship Id="rId1551" Type="http://schemas.openxmlformats.org/officeDocument/2006/relationships/hyperlink" Target="https://drive.google.com/file/d/1fASJYZKZid3SxxORfG7R2v9GlGxl3R5b/view?usp=drivesdk" TargetMode="External"/><Relationship Id="rId1552" Type="http://schemas.openxmlformats.org/officeDocument/2006/relationships/hyperlink" Target="https://drive.google.com/uc?export=view&amp;id=1fASJYZKZid3SxxORfG7R2v9GlGxl3R5b" TargetMode="External"/><Relationship Id="rId1553" Type="http://schemas.openxmlformats.org/officeDocument/2006/relationships/hyperlink" Target="https://drive.google.com/file/d/1tQJitECMesOhR2cbwBKZvBmr-XBRIlxS/view?usp=drivesdk" TargetMode="External"/><Relationship Id="rId1543" Type="http://schemas.openxmlformats.org/officeDocument/2006/relationships/hyperlink" Target="https://drive.google.com/file/d/1nZ0wzUHrRCfhIIb_uzQmYPhOVojKXzPi/view?usp=drivesdk" TargetMode="External"/><Relationship Id="rId1544" Type="http://schemas.openxmlformats.org/officeDocument/2006/relationships/hyperlink" Target="https://drive.google.com/uc?export=view&amp;id=1nZ0wzUHrRCfhIIb_uzQmYPhOVojKXzPi" TargetMode="External"/><Relationship Id="rId1545" Type="http://schemas.openxmlformats.org/officeDocument/2006/relationships/hyperlink" Target="https://drive.google.com/file/d/1qXsvaF3bobm84x2c568xiZ8VDX0LWFIH/view?usp=drivesdk" TargetMode="External"/><Relationship Id="rId1546" Type="http://schemas.openxmlformats.org/officeDocument/2006/relationships/hyperlink" Target="https://drive.google.com/uc?export=view&amp;id=1qXsvaF3bobm84x2c568xiZ8VDX0LWFIH" TargetMode="External"/><Relationship Id="rId1547" Type="http://schemas.openxmlformats.org/officeDocument/2006/relationships/hyperlink" Target="https://drive.google.com/file/d/1528nnhYI52_LaO2XVA-5A9plHj66aGiR/view?usp=drivesdk" TargetMode="External"/><Relationship Id="rId1548" Type="http://schemas.openxmlformats.org/officeDocument/2006/relationships/hyperlink" Target="https://drive.google.com/uc?export=view&amp;id=1528nnhYI52_LaO2XVA-5A9plHj66aGiR" TargetMode="External"/><Relationship Id="rId1549" Type="http://schemas.openxmlformats.org/officeDocument/2006/relationships/hyperlink" Target="https://drive.google.com/file/d/1W4xldxMPlbVHRfzHHs4s0ww9ApvF9GoE/view?usp=drivesdk" TargetMode="External"/><Relationship Id="rId959" Type="http://schemas.openxmlformats.org/officeDocument/2006/relationships/hyperlink" Target="https://drive.google.com/file/d/1vcHBFVW63EcgwrdFDr-4VSh7OeVUz0SA/view?usp=drivesdk" TargetMode="External"/><Relationship Id="rId954" Type="http://schemas.openxmlformats.org/officeDocument/2006/relationships/hyperlink" Target="https://drive.google.com/uc?export=view&amp;id=1C7yD1F75FmpxNp0PAJrtk9IAqQVpa2Cg" TargetMode="External"/><Relationship Id="rId953" Type="http://schemas.openxmlformats.org/officeDocument/2006/relationships/hyperlink" Target="https://drive.google.com/file/d/1C7yD1F75FmpxNp0PAJrtk9IAqQVpa2Cg/view?usp=drivesdk" TargetMode="External"/><Relationship Id="rId952" Type="http://schemas.openxmlformats.org/officeDocument/2006/relationships/hyperlink" Target="https://drive.google.com/uc?export=view&amp;id=1auFaj52X5ZJVvKrTnCctfCqMQEUftPRY" TargetMode="External"/><Relationship Id="rId951" Type="http://schemas.openxmlformats.org/officeDocument/2006/relationships/hyperlink" Target="https://drive.google.com/file/d/1auFaj52X5ZJVvKrTnCctfCqMQEUftPRY/view?usp=drivesdk" TargetMode="External"/><Relationship Id="rId958" Type="http://schemas.openxmlformats.org/officeDocument/2006/relationships/hyperlink" Target="https://drive.google.com/uc?export=view&amp;id=1us50wsFXYB5mrITkHF_wFTlaBcDrj8SA" TargetMode="External"/><Relationship Id="rId957" Type="http://schemas.openxmlformats.org/officeDocument/2006/relationships/hyperlink" Target="https://drive.google.com/file/d/1us50wsFXYB5mrITkHF_wFTlaBcDrj8SA/view?usp=drivesdk" TargetMode="External"/><Relationship Id="rId956" Type="http://schemas.openxmlformats.org/officeDocument/2006/relationships/hyperlink" Target="https://drive.google.com/uc?export=view&amp;id=1yu8d9JOreIDK6A05WKSxhvkgjuiANHnE" TargetMode="External"/><Relationship Id="rId955" Type="http://schemas.openxmlformats.org/officeDocument/2006/relationships/hyperlink" Target="https://drive.google.com/file/d/1yu8d9JOreIDK6A05WKSxhvkgjuiANHnE/view?usp=drivesdk" TargetMode="External"/><Relationship Id="rId950" Type="http://schemas.openxmlformats.org/officeDocument/2006/relationships/hyperlink" Target="https://drive.google.com/uc?export=view&amp;id=167GLm59pI8NOs73uxn8PJQdssoQAOPQn" TargetMode="External"/><Relationship Id="rId1540" Type="http://schemas.openxmlformats.org/officeDocument/2006/relationships/hyperlink" Target="https://drive.google.com/uc?export=view&amp;id=1YlDgkIOqm5gVLebnzC2Om_M_e0CaOhGM" TargetMode="External"/><Relationship Id="rId1541" Type="http://schemas.openxmlformats.org/officeDocument/2006/relationships/hyperlink" Target="https://drive.google.com/file/d/13Rfa7gFFA8DdkZ1j7Vv2kc0AIBV2EmBl/view?usp=drivesdk" TargetMode="External"/><Relationship Id="rId1542" Type="http://schemas.openxmlformats.org/officeDocument/2006/relationships/hyperlink" Target="https://drive.google.com/uc?export=view&amp;id=13Rfa7gFFA8DdkZ1j7Vv2kc0AIBV2EmBl" TargetMode="External"/><Relationship Id="rId590" Type="http://schemas.openxmlformats.org/officeDocument/2006/relationships/hyperlink" Target="https://drive.google.com/uc?export=view&amp;id=1w5DvloNu3jALSB5ix57VRqSgjbSR2IKA" TargetMode="External"/><Relationship Id="rId107" Type="http://schemas.openxmlformats.org/officeDocument/2006/relationships/hyperlink" Target="https://drive.google.com/file/d/1MDz4lUYuhwoR2RIx3ROmkLfQ-hGICuTN/view?usp=drivesdk" TargetMode="External"/><Relationship Id="rId106" Type="http://schemas.openxmlformats.org/officeDocument/2006/relationships/hyperlink" Target="https://drive.google.com/uc?export=view&amp;id=1V3ivKiBJ_QRnNa3tl2EgP2bCw1htGU2k" TargetMode="External"/><Relationship Id="rId105" Type="http://schemas.openxmlformats.org/officeDocument/2006/relationships/hyperlink" Target="https://drive.google.com/file/d/1V3ivKiBJ_QRnNa3tl2EgP2bCw1htGU2k/view?usp=drivesdk" TargetMode="External"/><Relationship Id="rId589" Type="http://schemas.openxmlformats.org/officeDocument/2006/relationships/hyperlink" Target="https://drive.google.com/file/d/1w5DvloNu3jALSB5ix57VRqSgjbSR2IKA/view?usp=drivesdk" TargetMode="External"/><Relationship Id="rId104" Type="http://schemas.openxmlformats.org/officeDocument/2006/relationships/hyperlink" Target="https://drive.google.com/uc?export=view&amp;id=1PLb3jAZ6sh9XBVtchJrJxZBWouECmkXY" TargetMode="External"/><Relationship Id="rId588" Type="http://schemas.openxmlformats.org/officeDocument/2006/relationships/hyperlink" Target="https://drive.google.com/uc?export=view&amp;id=1jKK-PJnH3TAciOQoOQLASXgZxby2lV6I" TargetMode="External"/><Relationship Id="rId109" Type="http://schemas.openxmlformats.org/officeDocument/2006/relationships/hyperlink" Target="https://drive.google.com/file/d/1VjAC0AdCnHPoNKtlgn5-LaIXjnZWe4Af/view?usp=drivesdk" TargetMode="External"/><Relationship Id="rId1170" Type="http://schemas.openxmlformats.org/officeDocument/2006/relationships/hyperlink" Target="https://drive.google.com/uc?export=view&amp;id=1Ewyrf2e2SOD5OrLKhqOH6Q91O7hhDNt3" TargetMode="External"/><Relationship Id="rId108" Type="http://schemas.openxmlformats.org/officeDocument/2006/relationships/hyperlink" Target="https://drive.google.com/uc?export=view&amp;id=1MDz4lUYuhwoR2RIx3ROmkLfQ-hGICuTN" TargetMode="External"/><Relationship Id="rId1171" Type="http://schemas.openxmlformats.org/officeDocument/2006/relationships/hyperlink" Target="https://drive.google.com/file/d/1o5zyKEAxalDdAAVG53zVutaaJrUxf1AB/view?usp=drivesdk" TargetMode="External"/><Relationship Id="rId583" Type="http://schemas.openxmlformats.org/officeDocument/2006/relationships/hyperlink" Target="https://drive.google.com/file/d/1ptQMwM2Cm0Q6LjEU491gL2z3JxFOshbC/view?usp=drivesdk" TargetMode="External"/><Relationship Id="rId1172" Type="http://schemas.openxmlformats.org/officeDocument/2006/relationships/hyperlink" Target="https://drive.google.com/uc?export=view&amp;id=1o5zyKEAxalDdAAVG53zVutaaJrUxf1AB" TargetMode="External"/><Relationship Id="rId582" Type="http://schemas.openxmlformats.org/officeDocument/2006/relationships/hyperlink" Target="https://drive.google.com/uc?export=view&amp;id=1asv7PKWKdQZ69mqJ_D0MeNl9N_YaMU43" TargetMode="External"/><Relationship Id="rId1173" Type="http://schemas.openxmlformats.org/officeDocument/2006/relationships/hyperlink" Target="https://drive.google.com/file/d/1_K8CksfE3yFGnH0qXYe_PbWENxKLDobX/view?usp=drivesdk" TargetMode="External"/><Relationship Id="rId581" Type="http://schemas.openxmlformats.org/officeDocument/2006/relationships/hyperlink" Target="https://drive.google.com/file/d/1asv7PKWKdQZ69mqJ_D0MeNl9N_YaMU43/view?usp=drivesdk" TargetMode="External"/><Relationship Id="rId1174" Type="http://schemas.openxmlformats.org/officeDocument/2006/relationships/hyperlink" Target="https://drive.google.com/uc?export=view&amp;id=1_K8CksfE3yFGnH0qXYe_PbWENxKLDobX" TargetMode="External"/><Relationship Id="rId580" Type="http://schemas.openxmlformats.org/officeDocument/2006/relationships/hyperlink" Target="https://drive.google.com/uc?export=view&amp;id=1h5t-P1nz2T9C08IYB1vV71nQsrMNf70p" TargetMode="External"/><Relationship Id="rId1175" Type="http://schemas.openxmlformats.org/officeDocument/2006/relationships/hyperlink" Target="https://drive.google.com/file/d/1AvVPrirI7FFgT6Z2Rx7qNsnE1yftWn4c/view?usp=drivesdk" TargetMode="External"/><Relationship Id="rId103" Type="http://schemas.openxmlformats.org/officeDocument/2006/relationships/hyperlink" Target="https://drive.google.com/file/d/1PLb3jAZ6sh9XBVtchJrJxZBWouECmkXY/view?usp=drivesdk" TargetMode="External"/><Relationship Id="rId587" Type="http://schemas.openxmlformats.org/officeDocument/2006/relationships/hyperlink" Target="https://drive.google.com/file/d/1jKK-PJnH3TAciOQoOQLASXgZxby2lV6I/view?usp=drivesdk" TargetMode="External"/><Relationship Id="rId1176" Type="http://schemas.openxmlformats.org/officeDocument/2006/relationships/hyperlink" Target="https://drive.google.com/uc?export=view&amp;id=1AvVPrirI7FFgT6Z2Rx7qNsnE1yftWn4c" TargetMode="External"/><Relationship Id="rId102" Type="http://schemas.openxmlformats.org/officeDocument/2006/relationships/hyperlink" Target="https://drive.google.com/uc?export=view&amp;id=1syiHCbH6Usbq1GPN0sYnA0oRkOIKG6aP" TargetMode="External"/><Relationship Id="rId586" Type="http://schemas.openxmlformats.org/officeDocument/2006/relationships/hyperlink" Target="https://drive.google.com/uc?export=view&amp;id=11oARel9zmj4XEvBSCb3QQvw5DzDrVg6O" TargetMode="External"/><Relationship Id="rId1177" Type="http://schemas.openxmlformats.org/officeDocument/2006/relationships/hyperlink" Target="https://drive.google.com/file/d/1aaX4d0zb2v9__4N8WtjR9fGi0mczrhiP/view?usp=drivesdk" TargetMode="External"/><Relationship Id="rId101" Type="http://schemas.openxmlformats.org/officeDocument/2006/relationships/hyperlink" Target="https://drive.google.com/file/d/1syiHCbH6Usbq1GPN0sYnA0oRkOIKG6aP/view?usp=drivesdk" TargetMode="External"/><Relationship Id="rId585" Type="http://schemas.openxmlformats.org/officeDocument/2006/relationships/hyperlink" Target="https://drive.google.com/file/d/11oARel9zmj4XEvBSCb3QQvw5DzDrVg6O/view?usp=drivesdk" TargetMode="External"/><Relationship Id="rId1178" Type="http://schemas.openxmlformats.org/officeDocument/2006/relationships/hyperlink" Target="https://drive.google.com/uc?export=view&amp;id=1aaX4d0zb2v9__4N8WtjR9fGi0mczrhiP" TargetMode="External"/><Relationship Id="rId100" Type="http://schemas.openxmlformats.org/officeDocument/2006/relationships/hyperlink" Target="https://drive.google.com/uc?export=view&amp;id=1C-jQCQZoXGq75FeiLQzuqndbaTl49qWY" TargetMode="External"/><Relationship Id="rId584" Type="http://schemas.openxmlformats.org/officeDocument/2006/relationships/hyperlink" Target="https://drive.google.com/uc?export=view&amp;id=1ptQMwM2Cm0Q6LjEU491gL2z3JxFOshbC" TargetMode="External"/><Relationship Id="rId1179" Type="http://schemas.openxmlformats.org/officeDocument/2006/relationships/hyperlink" Target="https://drive.google.com/file/d/183cg9bZjrkazJvPle-9jGX5del2eOW7F/view?usp=drivesdk" TargetMode="External"/><Relationship Id="rId1169" Type="http://schemas.openxmlformats.org/officeDocument/2006/relationships/hyperlink" Target="https://drive.google.com/file/d/1Ewyrf2e2SOD5OrLKhqOH6Q91O7hhDNt3/view?usp=drivesdk" TargetMode="External"/><Relationship Id="rId579" Type="http://schemas.openxmlformats.org/officeDocument/2006/relationships/hyperlink" Target="https://drive.google.com/file/d/1h5t-P1nz2T9C08IYB1vV71nQsrMNf70p/view?usp=drivesdk" TargetMode="External"/><Relationship Id="rId578" Type="http://schemas.openxmlformats.org/officeDocument/2006/relationships/hyperlink" Target="https://drive.google.com/uc?export=view&amp;id=1_HtV-kgkANXKreI88PUhv7lvmyH4WB72" TargetMode="External"/><Relationship Id="rId577" Type="http://schemas.openxmlformats.org/officeDocument/2006/relationships/hyperlink" Target="https://drive.google.com/file/d/1_HtV-kgkANXKreI88PUhv7lvmyH4WB72/view?usp=drivesdk" TargetMode="External"/><Relationship Id="rId1160" Type="http://schemas.openxmlformats.org/officeDocument/2006/relationships/hyperlink" Target="https://drive.google.com/uc?export=view&amp;id=13_TbWngxs7mjrlKOLUc7uVQGc2pdphlP" TargetMode="External"/><Relationship Id="rId572" Type="http://schemas.openxmlformats.org/officeDocument/2006/relationships/hyperlink" Target="https://drive.google.com/uc?export=view&amp;id=1UiejoR7J7zw4BuCvSpikNpBezt6uwKtO" TargetMode="External"/><Relationship Id="rId1161" Type="http://schemas.openxmlformats.org/officeDocument/2006/relationships/hyperlink" Target="https://drive.google.com/file/d/1MUVDQk31efybU5LvyWoxMLROX4qjl3Rx/view?usp=drivesdk" TargetMode="External"/><Relationship Id="rId571" Type="http://schemas.openxmlformats.org/officeDocument/2006/relationships/hyperlink" Target="https://drive.google.com/file/d/1UiejoR7J7zw4BuCvSpikNpBezt6uwKtO/view?usp=drivesdk" TargetMode="External"/><Relationship Id="rId1162" Type="http://schemas.openxmlformats.org/officeDocument/2006/relationships/hyperlink" Target="https://drive.google.com/uc?export=view&amp;id=1MUVDQk31efybU5LvyWoxMLROX4qjl3Rx" TargetMode="External"/><Relationship Id="rId570" Type="http://schemas.openxmlformats.org/officeDocument/2006/relationships/hyperlink" Target="https://drive.google.com/uc?export=view&amp;id=1_Hdqwh2IyIv3Kq9hJUGfHo4CiFvyWMAS" TargetMode="External"/><Relationship Id="rId1163" Type="http://schemas.openxmlformats.org/officeDocument/2006/relationships/hyperlink" Target="https://drive.google.com/file/d/1zqGQfNbAkYCNdsMSdssDdpoI2HHhY_At/view?usp=drivesdk" TargetMode="External"/><Relationship Id="rId1164" Type="http://schemas.openxmlformats.org/officeDocument/2006/relationships/hyperlink" Target="https://drive.google.com/uc?export=view&amp;id=1zqGQfNbAkYCNdsMSdssDdpoI2HHhY_At" TargetMode="External"/><Relationship Id="rId576" Type="http://schemas.openxmlformats.org/officeDocument/2006/relationships/hyperlink" Target="https://drive.google.com/uc?export=view&amp;id=1LbggHdDDiCS6nkK0-ea-7jKmTIzsJsGl" TargetMode="External"/><Relationship Id="rId1165" Type="http://schemas.openxmlformats.org/officeDocument/2006/relationships/hyperlink" Target="https://drive.google.com/file/d/1I2SY4RhVSMRdBm-oSheMvq6cdc7PTuku/view?usp=drivesdk" TargetMode="External"/><Relationship Id="rId575" Type="http://schemas.openxmlformats.org/officeDocument/2006/relationships/hyperlink" Target="https://drive.google.com/file/d/1LbggHdDDiCS6nkK0-ea-7jKmTIzsJsGl/view?usp=drivesdk" TargetMode="External"/><Relationship Id="rId1166" Type="http://schemas.openxmlformats.org/officeDocument/2006/relationships/hyperlink" Target="https://drive.google.com/uc?export=view&amp;id=1I2SY4RhVSMRdBm-oSheMvq6cdc7PTuku" TargetMode="External"/><Relationship Id="rId574" Type="http://schemas.openxmlformats.org/officeDocument/2006/relationships/hyperlink" Target="https://drive.google.com/uc?export=view&amp;id=1y5H-xoC6jsTlvndvmoUQ2C97R99e1UKS" TargetMode="External"/><Relationship Id="rId1167" Type="http://schemas.openxmlformats.org/officeDocument/2006/relationships/hyperlink" Target="https://drive.google.com/file/d/1JFmorJre-o92msS7CH6dDEHirY_zOZrD/view?usp=drivesdk" TargetMode="External"/><Relationship Id="rId573" Type="http://schemas.openxmlformats.org/officeDocument/2006/relationships/hyperlink" Target="https://drive.google.com/file/d/1y5H-xoC6jsTlvndvmoUQ2C97R99e1UKS/view?usp=drivesdk" TargetMode="External"/><Relationship Id="rId1168" Type="http://schemas.openxmlformats.org/officeDocument/2006/relationships/hyperlink" Target="https://drive.google.com/uc?export=view&amp;id=1JFmorJre-o92msS7CH6dDEHirY_zOZrD" TargetMode="External"/><Relationship Id="rId129" Type="http://schemas.openxmlformats.org/officeDocument/2006/relationships/hyperlink" Target="https://drive.google.com/file/d/1_aW1mp6N7bBZgv1HLqKe0tjotiEcJXkd/view?usp=drivesdk" TargetMode="External"/><Relationship Id="rId128" Type="http://schemas.openxmlformats.org/officeDocument/2006/relationships/hyperlink" Target="https://drive.google.com/uc?export=view&amp;id=1tAnlONf9BP74DAGamxsGoZf1FB5DOLF6" TargetMode="External"/><Relationship Id="rId127" Type="http://schemas.openxmlformats.org/officeDocument/2006/relationships/hyperlink" Target="https://drive.google.com/file/d/1tAnlONf9BP74DAGamxsGoZf1FB5DOLF6/view?usp=drivesdk" TargetMode="External"/><Relationship Id="rId126" Type="http://schemas.openxmlformats.org/officeDocument/2006/relationships/hyperlink" Target="https://drive.google.com/uc?export=view&amp;id=16elZLizTz1pfOZuoEakDM1dlSfSyPua-" TargetMode="External"/><Relationship Id="rId1190" Type="http://schemas.openxmlformats.org/officeDocument/2006/relationships/hyperlink" Target="https://drive.google.com/uc?export=view&amp;id=1iNdvN0R81KrDs2joU2fm990eZ-iOK2gI" TargetMode="External"/><Relationship Id="rId1191" Type="http://schemas.openxmlformats.org/officeDocument/2006/relationships/hyperlink" Target="https://drive.google.com/file/d/1urVxW8YFKfGkR1kScFDoRTLjJYm7WU4F/view?usp=drivesdk" TargetMode="External"/><Relationship Id="rId1192" Type="http://schemas.openxmlformats.org/officeDocument/2006/relationships/hyperlink" Target="https://drive.google.com/uc?export=view&amp;id=1urVxW8YFKfGkR1kScFDoRTLjJYm7WU4F" TargetMode="External"/><Relationship Id="rId1193" Type="http://schemas.openxmlformats.org/officeDocument/2006/relationships/hyperlink" Target="https://drive.google.com/file/d/1J_4San7Y_Gbt5FCDgNq7GbaP1WLg9YGM/view?usp=drivesdk" TargetMode="External"/><Relationship Id="rId121" Type="http://schemas.openxmlformats.org/officeDocument/2006/relationships/hyperlink" Target="https://drive.google.com/file/d/1hpeeoOTOjFEpBsAKrjiGTfBas4kGmJU6/view?usp=drivesdk" TargetMode="External"/><Relationship Id="rId1194" Type="http://schemas.openxmlformats.org/officeDocument/2006/relationships/hyperlink" Target="https://drive.google.com/uc?export=view&amp;id=1J_4San7Y_Gbt5FCDgNq7GbaP1WLg9YGM" TargetMode="External"/><Relationship Id="rId120" Type="http://schemas.openxmlformats.org/officeDocument/2006/relationships/hyperlink" Target="https://drive.google.com/uc?export=view&amp;id=1z4-VTwy2be3l6cP9mf9BeMk4NWzCWXid" TargetMode="External"/><Relationship Id="rId1195" Type="http://schemas.openxmlformats.org/officeDocument/2006/relationships/hyperlink" Target="https://drive.google.com/file/d/1DpkxwDSF9Iv9ktN2ue5WTmBu_HFK2hfH/view?usp=drivesdk" TargetMode="External"/><Relationship Id="rId1196" Type="http://schemas.openxmlformats.org/officeDocument/2006/relationships/hyperlink" Target="https://drive.google.com/uc?export=view&amp;id=1DpkxwDSF9Iv9ktN2ue5WTmBu_HFK2hfH" TargetMode="External"/><Relationship Id="rId1197" Type="http://schemas.openxmlformats.org/officeDocument/2006/relationships/hyperlink" Target="https://drive.google.com/file/d/1_KMU5Ce_i9xX1QyaW4mwU_VE-I4fa-We/view?usp=drivesdk" TargetMode="External"/><Relationship Id="rId125" Type="http://schemas.openxmlformats.org/officeDocument/2006/relationships/hyperlink" Target="https://drive.google.com/file/d/16elZLizTz1pfOZuoEakDM1dlSfSyPua-/view?usp=drivesdk" TargetMode="External"/><Relationship Id="rId1198" Type="http://schemas.openxmlformats.org/officeDocument/2006/relationships/hyperlink" Target="https://drive.google.com/uc?export=view&amp;id=1_KMU5Ce_i9xX1QyaW4mwU_VE-I4fa-We" TargetMode="External"/><Relationship Id="rId124" Type="http://schemas.openxmlformats.org/officeDocument/2006/relationships/hyperlink" Target="https://drive.google.com/uc?export=view&amp;id=1QkpmkOPmAiRmVOSbunoPPiYX0jyO2RPa" TargetMode="External"/><Relationship Id="rId1199" Type="http://schemas.openxmlformats.org/officeDocument/2006/relationships/hyperlink" Target="https://drive.google.com/file/d/1wLd7wwo_SrVuvUuMHDrYjFz-waIOCLZx/view?usp=drivesdk" TargetMode="External"/><Relationship Id="rId123" Type="http://schemas.openxmlformats.org/officeDocument/2006/relationships/hyperlink" Target="https://drive.google.com/file/d/1QkpmkOPmAiRmVOSbunoPPiYX0jyO2RPa/view?usp=drivesdk" TargetMode="External"/><Relationship Id="rId122" Type="http://schemas.openxmlformats.org/officeDocument/2006/relationships/hyperlink" Target="https://drive.google.com/uc?export=view&amp;id=1hpeeoOTOjFEpBsAKrjiGTfBas4kGmJU6" TargetMode="External"/><Relationship Id="rId118" Type="http://schemas.openxmlformats.org/officeDocument/2006/relationships/hyperlink" Target="https://drive.google.com/uc?export=view&amp;id=1vGpAr8folAADqvgIOvLC6uXuJzzsGLwp" TargetMode="External"/><Relationship Id="rId117" Type="http://schemas.openxmlformats.org/officeDocument/2006/relationships/hyperlink" Target="https://drive.google.com/file/d/1vGpAr8folAADqvgIOvLC6uXuJzzsGLwp/view?usp=drivesdk" TargetMode="External"/><Relationship Id="rId116" Type="http://schemas.openxmlformats.org/officeDocument/2006/relationships/hyperlink" Target="https://drive.google.com/uc?export=view&amp;id=1-0oShcQJielRhKsh2N4HwN6rQhxiFHLD" TargetMode="External"/><Relationship Id="rId115" Type="http://schemas.openxmlformats.org/officeDocument/2006/relationships/hyperlink" Target="https://drive.google.com/file/d/1-0oShcQJielRhKsh2N4HwN6rQhxiFHLD/view?usp=drivesdk" TargetMode="External"/><Relationship Id="rId599" Type="http://schemas.openxmlformats.org/officeDocument/2006/relationships/hyperlink" Target="https://drive.google.com/file/d/1Op0GeSgkEWp1IBl2yXVd3WC__GfPwJy7/view?usp=drivesdk" TargetMode="External"/><Relationship Id="rId1180" Type="http://schemas.openxmlformats.org/officeDocument/2006/relationships/hyperlink" Target="https://drive.google.com/uc?export=view&amp;id=183cg9bZjrkazJvPle-9jGX5del2eOW7F" TargetMode="External"/><Relationship Id="rId1181" Type="http://schemas.openxmlformats.org/officeDocument/2006/relationships/hyperlink" Target="https://drive.google.com/file/d/1P658A44QNy1JbzGtS2X6IZzwTqsMfZdY/view?usp=drivesdk" TargetMode="External"/><Relationship Id="rId119" Type="http://schemas.openxmlformats.org/officeDocument/2006/relationships/hyperlink" Target="https://drive.google.com/file/d/1z4-VTwy2be3l6cP9mf9BeMk4NWzCWXid/view?usp=drivesdk" TargetMode="External"/><Relationship Id="rId1182" Type="http://schemas.openxmlformats.org/officeDocument/2006/relationships/hyperlink" Target="https://drive.google.com/uc?export=view&amp;id=1P658A44QNy1JbzGtS2X6IZzwTqsMfZdY" TargetMode="External"/><Relationship Id="rId110" Type="http://schemas.openxmlformats.org/officeDocument/2006/relationships/hyperlink" Target="https://drive.google.com/uc?export=view&amp;id=1VjAC0AdCnHPoNKtlgn5-LaIXjnZWe4Af" TargetMode="External"/><Relationship Id="rId594" Type="http://schemas.openxmlformats.org/officeDocument/2006/relationships/hyperlink" Target="https://drive.google.com/uc?export=view&amp;id=1PVchqvMYg41CknUKZi3UeEdMgmmcGYm4" TargetMode="External"/><Relationship Id="rId1183" Type="http://schemas.openxmlformats.org/officeDocument/2006/relationships/hyperlink" Target="https://drive.google.com/file/d/1wTjG7bS5fsrQxICeY7sjExpzsRLiI6PC/view?usp=drivesdk" TargetMode="External"/><Relationship Id="rId593" Type="http://schemas.openxmlformats.org/officeDocument/2006/relationships/hyperlink" Target="https://drive.google.com/file/d/1PVchqvMYg41CknUKZi3UeEdMgmmcGYm4/view?usp=drivesdk" TargetMode="External"/><Relationship Id="rId1184" Type="http://schemas.openxmlformats.org/officeDocument/2006/relationships/hyperlink" Target="https://drive.google.com/uc?export=view&amp;id=1wTjG7bS5fsrQxICeY7sjExpzsRLiI6PC" TargetMode="External"/><Relationship Id="rId592" Type="http://schemas.openxmlformats.org/officeDocument/2006/relationships/hyperlink" Target="https://drive.google.com/uc?export=view&amp;id=1s785w11E70wrziTZeopqVsW3fdIxmATg" TargetMode="External"/><Relationship Id="rId1185" Type="http://schemas.openxmlformats.org/officeDocument/2006/relationships/hyperlink" Target="https://drive.google.com/file/d/1Hf86v8dR73sPBmoagMZ9Xt4E9oefslaj/view?usp=drivesdk" TargetMode="External"/><Relationship Id="rId591" Type="http://schemas.openxmlformats.org/officeDocument/2006/relationships/hyperlink" Target="https://drive.google.com/file/d/1s785w11E70wrziTZeopqVsW3fdIxmATg/view?usp=drivesdk" TargetMode="External"/><Relationship Id="rId1186" Type="http://schemas.openxmlformats.org/officeDocument/2006/relationships/hyperlink" Target="https://drive.google.com/uc?export=view&amp;id=1Hf86v8dR73sPBmoagMZ9Xt4E9oefslaj" TargetMode="External"/><Relationship Id="rId114" Type="http://schemas.openxmlformats.org/officeDocument/2006/relationships/hyperlink" Target="https://drive.google.com/uc?export=view&amp;id=1TyBIHf02M54FRa6ISKtiiyWhpjGPaXMj" TargetMode="External"/><Relationship Id="rId598" Type="http://schemas.openxmlformats.org/officeDocument/2006/relationships/hyperlink" Target="https://drive.google.com/uc?export=view&amp;id=1_9kHWEg0f9qJYeNcTuRzfy60vgnN9qJJ" TargetMode="External"/><Relationship Id="rId1187" Type="http://schemas.openxmlformats.org/officeDocument/2006/relationships/hyperlink" Target="https://drive.google.com/file/d/151b8KqXM0ISEVszvMMY7zUHYTgmPcYwg/view?usp=drivesdk" TargetMode="External"/><Relationship Id="rId113" Type="http://schemas.openxmlformats.org/officeDocument/2006/relationships/hyperlink" Target="https://drive.google.com/file/d/1TyBIHf02M54FRa6ISKtiiyWhpjGPaXMj/view?usp=drivesdk" TargetMode="External"/><Relationship Id="rId597" Type="http://schemas.openxmlformats.org/officeDocument/2006/relationships/hyperlink" Target="https://drive.google.com/file/d/1_9kHWEg0f9qJYeNcTuRzfy60vgnN9qJJ/view?usp=drivesdk" TargetMode="External"/><Relationship Id="rId1188" Type="http://schemas.openxmlformats.org/officeDocument/2006/relationships/hyperlink" Target="https://drive.google.com/uc?export=view&amp;id=151b8KqXM0ISEVszvMMY7zUHYTgmPcYwg" TargetMode="External"/><Relationship Id="rId112" Type="http://schemas.openxmlformats.org/officeDocument/2006/relationships/hyperlink" Target="https://drive.google.com/uc?export=view&amp;id=1kt90rcKPVx_NkNBIns6WN5FgDH2ROfaE" TargetMode="External"/><Relationship Id="rId596" Type="http://schemas.openxmlformats.org/officeDocument/2006/relationships/hyperlink" Target="https://drive.google.com/uc?export=view&amp;id=1KYdW_CrvMdv09Bd7TJD36KPgq3h_M1DZ" TargetMode="External"/><Relationship Id="rId1189" Type="http://schemas.openxmlformats.org/officeDocument/2006/relationships/hyperlink" Target="https://drive.google.com/file/d/1iNdvN0R81KrDs2joU2fm990eZ-iOK2gI/view?usp=drivesdk" TargetMode="External"/><Relationship Id="rId111" Type="http://schemas.openxmlformats.org/officeDocument/2006/relationships/hyperlink" Target="https://drive.google.com/file/d/1kt90rcKPVx_NkNBIns6WN5FgDH2ROfaE/view?usp=drivesdk" TargetMode="External"/><Relationship Id="rId595" Type="http://schemas.openxmlformats.org/officeDocument/2006/relationships/hyperlink" Target="https://drive.google.com/file/d/1KYdW_CrvMdv09Bd7TJD36KPgq3h_M1DZ/view?usp=drivesdk" TargetMode="External"/><Relationship Id="rId1136" Type="http://schemas.openxmlformats.org/officeDocument/2006/relationships/hyperlink" Target="https://drive.google.com/uc?export=view&amp;id=1hbTapVvIB921euQP1BLb0wwfsNNS5J06" TargetMode="External"/><Relationship Id="rId1137" Type="http://schemas.openxmlformats.org/officeDocument/2006/relationships/hyperlink" Target="https://drive.google.com/file/d/1qD99krjf9Feau5FOqcXNzVDrpGmUYWf5/view?usp=drivesdk" TargetMode="External"/><Relationship Id="rId1138" Type="http://schemas.openxmlformats.org/officeDocument/2006/relationships/hyperlink" Target="https://drive.google.com/uc?export=view&amp;id=1qD99krjf9Feau5FOqcXNzVDrpGmUYWf5" TargetMode="External"/><Relationship Id="rId1139" Type="http://schemas.openxmlformats.org/officeDocument/2006/relationships/hyperlink" Target="https://drive.google.com/file/d/1RrKww33TsH2O98x_MsIvLg5gXkJzWsjC/view?usp=drivesdk" TargetMode="External"/><Relationship Id="rId547" Type="http://schemas.openxmlformats.org/officeDocument/2006/relationships/hyperlink" Target="https://drive.google.com/file/d/1genfc3fge5dqRVLRYQKzoNChj0S83Rgr/view?usp=drivesdk" TargetMode="External"/><Relationship Id="rId546" Type="http://schemas.openxmlformats.org/officeDocument/2006/relationships/hyperlink" Target="https://drive.google.com/uc?export=view&amp;id=14gmnIKDIqC3M1ipIjJEL8NWaNoQuMMON" TargetMode="External"/><Relationship Id="rId545" Type="http://schemas.openxmlformats.org/officeDocument/2006/relationships/hyperlink" Target="https://drive.google.com/file/d/14gmnIKDIqC3M1ipIjJEL8NWaNoQuMMON/view?usp=drivesdk" TargetMode="External"/><Relationship Id="rId544" Type="http://schemas.openxmlformats.org/officeDocument/2006/relationships/hyperlink" Target="https://drive.google.com/uc?export=view&amp;id=186pJVYWZ9Vi2qfzcq7yhemtsftRI8Lny" TargetMode="External"/><Relationship Id="rId549" Type="http://schemas.openxmlformats.org/officeDocument/2006/relationships/hyperlink" Target="https://drive.google.com/file/d/1wsdaVVnokvsETcwtJQQoqyPV0sYI8FDT/view?usp=drivesdk" TargetMode="External"/><Relationship Id="rId548" Type="http://schemas.openxmlformats.org/officeDocument/2006/relationships/hyperlink" Target="https://drive.google.com/uc?export=view&amp;id=1genfc3fge5dqRVLRYQKzoNChj0S83Rgr" TargetMode="External"/><Relationship Id="rId1130" Type="http://schemas.openxmlformats.org/officeDocument/2006/relationships/hyperlink" Target="https://drive.google.com/uc?export=view&amp;id=1Zowf2Lmuymq1lb0NHYIMUoQpeQMb2pk4" TargetMode="External"/><Relationship Id="rId1131" Type="http://schemas.openxmlformats.org/officeDocument/2006/relationships/hyperlink" Target="https://drive.google.com/file/d/1GyS-dzeblLgHC2irRs3JmZx9dFS-kqjp/view?usp=drivesdk" TargetMode="External"/><Relationship Id="rId543" Type="http://schemas.openxmlformats.org/officeDocument/2006/relationships/hyperlink" Target="https://drive.google.com/file/d/186pJVYWZ9Vi2qfzcq7yhemtsftRI8Lny/view?usp=drivesdk" TargetMode="External"/><Relationship Id="rId1132" Type="http://schemas.openxmlformats.org/officeDocument/2006/relationships/hyperlink" Target="https://drive.google.com/uc?export=view&amp;id=1GyS-dzeblLgHC2irRs3JmZx9dFS-kqjp" TargetMode="External"/><Relationship Id="rId542" Type="http://schemas.openxmlformats.org/officeDocument/2006/relationships/hyperlink" Target="https://drive.google.com/uc?export=view&amp;id=1M_OLDHd1IGQhOhIDkerQvEpeqlVKncgg" TargetMode="External"/><Relationship Id="rId1133" Type="http://schemas.openxmlformats.org/officeDocument/2006/relationships/hyperlink" Target="https://drive.google.com/file/d/1y48fzN2p1tVhIt2H8NXOTMZizw-HH0wD/view?usp=drivesdk" TargetMode="External"/><Relationship Id="rId541" Type="http://schemas.openxmlformats.org/officeDocument/2006/relationships/hyperlink" Target="https://drive.google.com/file/d/1M_OLDHd1IGQhOhIDkerQvEpeqlVKncgg/view?usp=drivesdk" TargetMode="External"/><Relationship Id="rId1134" Type="http://schemas.openxmlformats.org/officeDocument/2006/relationships/hyperlink" Target="https://drive.google.com/uc?export=view&amp;id=1y48fzN2p1tVhIt2H8NXOTMZizw-HH0wD" TargetMode="External"/><Relationship Id="rId540" Type="http://schemas.openxmlformats.org/officeDocument/2006/relationships/hyperlink" Target="https://drive.google.com/uc?export=view&amp;id=1q7alJv95lZLsTs5SK7SUiG8w7RVuPhyh" TargetMode="External"/><Relationship Id="rId1135" Type="http://schemas.openxmlformats.org/officeDocument/2006/relationships/hyperlink" Target="https://drive.google.com/file/d/1hbTapVvIB921euQP1BLb0wwfsNNS5J06/view?usp=drivesdk" TargetMode="External"/><Relationship Id="rId1125" Type="http://schemas.openxmlformats.org/officeDocument/2006/relationships/hyperlink" Target="https://drive.google.com/file/d/1qVlfX8IyFwg67xxNTIryWwoi4s0iLusw/view?usp=drivesdk" TargetMode="External"/><Relationship Id="rId1126" Type="http://schemas.openxmlformats.org/officeDocument/2006/relationships/hyperlink" Target="https://drive.google.com/uc?export=view&amp;id=1qVlfX8IyFwg67xxNTIryWwoi4s0iLusw" TargetMode="External"/><Relationship Id="rId1127" Type="http://schemas.openxmlformats.org/officeDocument/2006/relationships/hyperlink" Target="https://drive.google.com/file/d/1AlmZ7c986ONXoaWoWSPM6LowvZiJjMfQ/view?usp=drivesdk" TargetMode="External"/><Relationship Id="rId1128" Type="http://schemas.openxmlformats.org/officeDocument/2006/relationships/hyperlink" Target="https://drive.google.com/uc?export=view&amp;id=1AlmZ7c986ONXoaWoWSPM6LowvZiJjMfQ" TargetMode="External"/><Relationship Id="rId1129" Type="http://schemas.openxmlformats.org/officeDocument/2006/relationships/hyperlink" Target="https://drive.google.com/file/d/1Zowf2Lmuymq1lb0NHYIMUoQpeQMb2pk4/view?usp=drivesdk" TargetMode="External"/><Relationship Id="rId536" Type="http://schemas.openxmlformats.org/officeDocument/2006/relationships/hyperlink" Target="https://drive.google.com/uc?export=view&amp;id=16sMsqGpD-MiUMg6QlM2nNZh0jkepw3XH" TargetMode="External"/><Relationship Id="rId535" Type="http://schemas.openxmlformats.org/officeDocument/2006/relationships/hyperlink" Target="https://drive.google.com/file/d/16sMsqGpD-MiUMg6QlM2nNZh0jkepw3XH/view?usp=drivesdk" TargetMode="External"/><Relationship Id="rId534" Type="http://schemas.openxmlformats.org/officeDocument/2006/relationships/hyperlink" Target="https://drive.google.com/uc?export=view&amp;id=1Xidz714qCkKSdjQP3hzKGyQEgzBgo57u" TargetMode="External"/><Relationship Id="rId533" Type="http://schemas.openxmlformats.org/officeDocument/2006/relationships/hyperlink" Target="https://drive.google.com/file/d/1Xidz714qCkKSdjQP3hzKGyQEgzBgo57u/view?usp=drivesdk" TargetMode="External"/><Relationship Id="rId539" Type="http://schemas.openxmlformats.org/officeDocument/2006/relationships/hyperlink" Target="https://drive.google.com/file/d/1q7alJv95lZLsTs5SK7SUiG8w7RVuPhyh/view?usp=drivesdk" TargetMode="External"/><Relationship Id="rId538" Type="http://schemas.openxmlformats.org/officeDocument/2006/relationships/hyperlink" Target="https://drive.google.com/uc?export=view&amp;id=1ugPRy1JoZzo8pPVYorK8ZiQOaiqy3VJV" TargetMode="External"/><Relationship Id="rId537" Type="http://schemas.openxmlformats.org/officeDocument/2006/relationships/hyperlink" Target="https://drive.google.com/file/d/1ugPRy1JoZzo8pPVYorK8ZiQOaiqy3VJV/view?usp=drivesdk" TargetMode="External"/><Relationship Id="rId1120" Type="http://schemas.openxmlformats.org/officeDocument/2006/relationships/hyperlink" Target="https://drive.google.com/uc?export=view&amp;id=1lKJRbeaInwE_bcKF6DgBVjsS2C0wCxBY" TargetMode="External"/><Relationship Id="rId532" Type="http://schemas.openxmlformats.org/officeDocument/2006/relationships/hyperlink" Target="https://drive.google.com/uc?export=view&amp;id=1UFCkwEfq_R1r-dgWmyafgeIGwygWAnvM" TargetMode="External"/><Relationship Id="rId1121" Type="http://schemas.openxmlformats.org/officeDocument/2006/relationships/hyperlink" Target="https://drive.google.com/file/d/1Kvn_80gIEx4vDrXDnvyyDlAYHmBwpUhl/view?usp=drivesdk" TargetMode="External"/><Relationship Id="rId531" Type="http://schemas.openxmlformats.org/officeDocument/2006/relationships/hyperlink" Target="https://drive.google.com/file/d/1UFCkwEfq_R1r-dgWmyafgeIGwygWAnvM/view?usp=drivesdk" TargetMode="External"/><Relationship Id="rId1122" Type="http://schemas.openxmlformats.org/officeDocument/2006/relationships/hyperlink" Target="https://drive.google.com/uc?export=view&amp;id=1Kvn_80gIEx4vDrXDnvyyDlAYHmBwpUhl" TargetMode="External"/><Relationship Id="rId530" Type="http://schemas.openxmlformats.org/officeDocument/2006/relationships/hyperlink" Target="https://drive.google.com/uc?export=view&amp;id=1IS9j2ED1ZSBgQWT7_bZ_8RjbAGQjw64j" TargetMode="External"/><Relationship Id="rId1123" Type="http://schemas.openxmlformats.org/officeDocument/2006/relationships/hyperlink" Target="https://drive.google.com/file/d/1Kl4BP3kxJnf4qsUoLq_EeSn0gXYfrHBy/view?usp=drivesdk" TargetMode="External"/><Relationship Id="rId1124" Type="http://schemas.openxmlformats.org/officeDocument/2006/relationships/hyperlink" Target="https://drive.google.com/uc?export=view&amp;id=1Kl4BP3kxJnf4qsUoLq_EeSn0gXYfrHBy" TargetMode="External"/><Relationship Id="rId1158" Type="http://schemas.openxmlformats.org/officeDocument/2006/relationships/hyperlink" Target="https://drive.google.com/uc?export=view&amp;id=18-FGt-x-lQV20mzqNiDle0UiTgXGdBN1" TargetMode="External"/><Relationship Id="rId1159" Type="http://schemas.openxmlformats.org/officeDocument/2006/relationships/hyperlink" Target="https://drive.google.com/file/d/13_TbWngxs7mjrlKOLUc7uVQGc2pdphlP/view?usp=drivesdk" TargetMode="External"/><Relationship Id="rId569" Type="http://schemas.openxmlformats.org/officeDocument/2006/relationships/hyperlink" Target="https://drive.google.com/file/d/1_Hdqwh2IyIv3Kq9hJUGfHo4CiFvyWMAS/view?usp=drivesdk" TargetMode="External"/><Relationship Id="rId568" Type="http://schemas.openxmlformats.org/officeDocument/2006/relationships/hyperlink" Target="https://drive.google.com/uc?export=view&amp;id=1pvI3bcRHrIPI3eRYaNs59WW4WGMf6qJd" TargetMode="External"/><Relationship Id="rId567" Type="http://schemas.openxmlformats.org/officeDocument/2006/relationships/hyperlink" Target="https://drive.google.com/file/d/1pvI3bcRHrIPI3eRYaNs59WW4WGMf6qJd/view?usp=drivesdk" TargetMode="External"/><Relationship Id="rId566" Type="http://schemas.openxmlformats.org/officeDocument/2006/relationships/hyperlink" Target="https://drive.google.com/uc?export=view&amp;id=1Y4SaFH4HW53xjAJRVjIrXkcMDSj_3cNW" TargetMode="External"/><Relationship Id="rId561" Type="http://schemas.openxmlformats.org/officeDocument/2006/relationships/hyperlink" Target="https://drive.google.com/file/d/19JyUnK-vB7e6o7hGo-YK9jfdlc6OB9Jc/view?usp=drivesdk" TargetMode="External"/><Relationship Id="rId1150" Type="http://schemas.openxmlformats.org/officeDocument/2006/relationships/hyperlink" Target="https://drive.google.com/uc?export=view&amp;id=1iJBcpwge3caqv2PYLzpwG_o1I31C8R_W" TargetMode="External"/><Relationship Id="rId560" Type="http://schemas.openxmlformats.org/officeDocument/2006/relationships/hyperlink" Target="https://drive.google.com/uc?export=view&amp;id=1VF6jOFgSDHPYxoGmk14JdPdGF3w6jlXn" TargetMode="External"/><Relationship Id="rId1151" Type="http://schemas.openxmlformats.org/officeDocument/2006/relationships/hyperlink" Target="https://drive.google.com/file/d/1n3kqCUclHLi-WtdugGluQYzbuCpCFO4O/view?usp=drivesdk" TargetMode="External"/><Relationship Id="rId1152" Type="http://schemas.openxmlformats.org/officeDocument/2006/relationships/hyperlink" Target="https://drive.google.com/uc?export=view&amp;id=1n3kqCUclHLi-WtdugGluQYzbuCpCFO4O" TargetMode="External"/><Relationship Id="rId1153" Type="http://schemas.openxmlformats.org/officeDocument/2006/relationships/hyperlink" Target="https://drive.google.com/file/d/1Vsx9du_yahX0gW7MkTqvOq8vU0_VMlJ4/view?usp=drivesdk" TargetMode="External"/><Relationship Id="rId565" Type="http://schemas.openxmlformats.org/officeDocument/2006/relationships/hyperlink" Target="https://drive.google.com/file/d/1Y4SaFH4HW53xjAJRVjIrXkcMDSj_3cNW/view?usp=drivesdk" TargetMode="External"/><Relationship Id="rId1154" Type="http://schemas.openxmlformats.org/officeDocument/2006/relationships/hyperlink" Target="https://drive.google.com/uc?export=view&amp;id=1Vsx9du_yahX0gW7MkTqvOq8vU0_VMlJ4" TargetMode="External"/><Relationship Id="rId564" Type="http://schemas.openxmlformats.org/officeDocument/2006/relationships/hyperlink" Target="https://drive.google.com/uc?export=view&amp;id=1Z4IfvjzAdAU-smgZJA4qNnfiiNMJf0QJ" TargetMode="External"/><Relationship Id="rId1155" Type="http://schemas.openxmlformats.org/officeDocument/2006/relationships/hyperlink" Target="https://drive.google.com/file/d/1BqdyrvcNdlger8-03gAha6jXCEHGFeCr/view?usp=drivesdk" TargetMode="External"/><Relationship Id="rId563" Type="http://schemas.openxmlformats.org/officeDocument/2006/relationships/hyperlink" Target="https://drive.google.com/file/d/1Z4IfvjzAdAU-smgZJA4qNnfiiNMJf0QJ/view?usp=drivesdk" TargetMode="External"/><Relationship Id="rId1156" Type="http://schemas.openxmlformats.org/officeDocument/2006/relationships/hyperlink" Target="https://drive.google.com/uc?export=view&amp;id=1BqdyrvcNdlger8-03gAha6jXCEHGFeCr" TargetMode="External"/><Relationship Id="rId562" Type="http://schemas.openxmlformats.org/officeDocument/2006/relationships/hyperlink" Target="https://drive.google.com/uc?export=view&amp;id=19JyUnK-vB7e6o7hGo-YK9jfdlc6OB9Jc" TargetMode="External"/><Relationship Id="rId1157" Type="http://schemas.openxmlformats.org/officeDocument/2006/relationships/hyperlink" Target="https://drive.google.com/file/d/18-FGt-x-lQV20mzqNiDle0UiTgXGdBN1/view?usp=drivesdk" TargetMode="External"/><Relationship Id="rId1147" Type="http://schemas.openxmlformats.org/officeDocument/2006/relationships/hyperlink" Target="https://drive.google.com/file/d/1d6uKUfdP_A4EZNUdZsT2nLxWLCV8t2Ud/view?usp=drivesdk" TargetMode="External"/><Relationship Id="rId1148" Type="http://schemas.openxmlformats.org/officeDocument/2006/relationships/hyperlink" Target="https://drive.google.com/uc?export=view&amp;id=1d6uKUfdP_A4EZNUdZsT2nLxWLCV8t2Ud" TargetMode="External"/><Relationship Id="rId1149" Type="http://schemas.openxmlformats.org/officeDocument/2006/relationships/hyperlink" Target="https://drive.google.com/file/d/1iJBcpwge3caqv2PYLzpwG_o1I31C8R_W/view?usp=drivesdk" TargetMode="External"/><Relationship Id="rId558" Type="http://schemas.openxmlformats.org/officeDocument/2006/relationships/hyperlink" Target="https://drive.google.com/uc?export=view&amp;id=19RrxusTFzeX1oRf-KbJ8YX6yqPmg3wSa" TargetMode="External"/><Relationship Id="rId557" Type="http://schemas.openxmlformats.org/officeDocument/2006/relationships/hyperlink" Target="https://drive.google.com/file/d/19RrxusTFzeX1oRf-KbJ8YX6yqPmg3wSa/view?usp=drivesdk" TargetMode="External"/><Relationship Id="rId556" Type="http://schemas.openxmlformats.org/officeDocument/2006/relationships/hyperlink" Target="https://drive.google.com/uc?export=view&amp;id=1oMKCm9vt1nBGJR35DvbN7kMsoN2ne6kp" TargetMode="External"/><Relationship Id="rId555" Type="http://schemas.openxmlformats.org/officeDocument/2006/relationships/hyperlink" Target="https://drive.google.com/file/d/1oMKCm9vt1nBGJR35DvbN7kMsoN2ne6kp/view?usp=drivesdk" TargetMode="External"/><Relationship Id="rId559" Type="http://schemas.openxmlformats.org/officeDocument/2006/relationships/hyperlink" Target="https://drive.google.com/file/d/1VF6jOFgSDHPYxoGmk14JdPdGF3w6jlXn/view?usp=drivesdk" TargetMode="External"/><Relationship Id="rId550" Type="http://schemas.openxmlformats.org/officeDocument/2006/relationships/hyperlink" Target="https://drive.google.com/uc?export=view&amp;id=1wsdaVVnokvsETcwtJQQoqyPV0sYI8FDT" TargetMode="External"/><Relationship Id="rId1140" Type="http://schemas.openxmlformats.org/officeDocument/2006/relationships/hyperlink" Target="https://drive.google.com/uc?export=view&amp;id=1RrKww33TsH2O98x_MsIvLg5gXkJzWsjC" TargetMode="External"/><Relationship Id="rId1141" Type="http://schemas.openxmlformats.org/officeDocument/2006/relationships/hyperlink" Target="https://drive.google.com/file/d/1-xE4uk_KscQvzWrYhKOgHpu1b8bBpKLO/view?usp=drivesdk" TargetMode="External"/><Relationship Id="rId1142" Type="http://schemas.openxmlformats.org/officeDocument/2006/relationships/hyperlink" Target="https://drive.google.com/uc?export=view&amp;id=1-xE4uk_KscQvzWrYhKOgHpu1b8bBpKLO" TargetMode="External"/><Relationship Id="rId554" Type="http://schemas.openxmlformats.org/officeDocument/2006/relationships/hyperlink" Target="https://drive.google.com/uc?export=view&amp;id=1KEILrqql_KhdfXDEP0qAkXIOhP_CjgcT" TargetMode="External"/><Relationship Id="rId1143" Type="http://schemas.openxmlformats.org/officeDocument/2006/relationships/hyperlink" Target="https://drive.google.com/file/d/1cJ1TfMG4SlSRuLxhTtrSqSMULL1MSz01/view?usp=drivesdk" TargetMode="External"/><Relationship Id="rId553" Type="http://schemas.openxmlformats.org/officeDocument/2006/relationships/hyperlink" Target="https://drive.google.com/file/d/1KEILrqql_KhdfXDEP0qAkXIOhP_CjgcT/view?usp=drivesdk" TargetMode="External"/><Relationship Id="rId1144" Type="http://schemas.openxmlformats.org/officeDocument/2006/relationships/hyperlink" Target="https://drive.google.com/uc?export=view&amp;id=1cJ1TfMG4SlSRuLxhTtrSqSMULL1MSz01" TargetMode="External"/><Relationship Id="rId552" Type="http://schemas.openxmlformats.org/officeDocument/2006/relationships/hyperlink" Target="https://drive.google.com/uc?export=view&amp;id=1gVUWox-bbn96MVXAYKMSwGcHbu8CVjWf" TargetMode="External"/><Relationship Id="rId1145" Type="http://schemas.openxmlformats.org/officeDocument/2006/relationships/hyperlink" Target="https://drive.google.com/file/d/1-q-cKDqdv26_RCvA9seWZrjL_FokZ6Bo/view?usp=drivesdk" TargetMode="External"/><Relationship Id="rId551" Type="http://schemas.openxmlformats.org/officeDocument/2006/relationships/hyperlink" Target="https://drive.google.com/file/d/1gVUWox-bbn96MVXAYKMSwGcHbu8CVjWf/view?usp=drivesdk" TargetMode="External"/><Relationship Id="rId1146" Type="http://schemas.openxmlformats.org/officeDocument/2006/relationships/hyperlink" Target="https://drive.google.com/uc?export=view&amp;id=1-q-cKDqdv26_RCvA9seWZrjL_FokZ6Bo" TargetMode="External"/><Relationship Id="rId495" Type="http://schemas.openxmlformats.org/officeDocument/2006/relationships/hyperlink" Target="https://drive.google.com/file/d/11CaqiUGLs3kGMBfADa-RblCogjb_Q9is/view?usp=drivesdk" TargetMode="External"/><Relationship Id="rId494" Type="http://schemas.openxmlformats.org/officeDocument/2006/relationships/hyperlink" Target="https://drive.google.com/uc?export=view&amp;id=1PkZ4chv2TupO121eRFWzHDmli8E4UIVN" TargetMode="External"/><Relationship Id="rId493" Type="http://schemas.openxmlformats.org/officeDocument/2006/relationships/hyperlink" Target="https://drive.google.com/file/d/1PkZ4chv2TupO121eRFWzHDmli8E4UIVN/view?usp=drivesdk" TargetMode="External"/><Relationship Id="rId492" Type="http://schemas.openxmlformats.org/officeDocument/2006/relationships/hyperlink" Target="https://drive.google.com/uc?export=view&amp;id=1vQOZLMJR7fpWSKh24zz5k4j5sP0kMPaL" TargetMode="External"/><Relationship Id="rId499" Type="http://schemas.openxmlformats.org/officeDocument/2006/relationships/hyperlink" Target="https://drive.google.com/file/d/1vyHmJJly3aIunks7reWZp1dfblzBwugN/view?usp=drivesdk" TargetMode="External"/><Relationship Id="rId498" Type="http://schemas.openxmlformats.org/officeDocument/2006/relationships/hyperlink" Target="https://drive.google.com/uc?export=view&amp;id=1CimBLy0zqUQY6Tox001oJkMS8snZZQDO" TargetMode="External"/><Relationship Id="rId497" Type="http://schemas.openxmlformats.org/officeDocument/2006/relationships/hyperlink" Target="https://drive.google.com/file/d/1CimBLy0zqUQY6Tox001oJkMS8snZZQDO/view?usp=drivesdk" TargetMode="External"/><Relationship Id="rId496" Type="http://schemas.openxmlformats.org/officeDocument/2006/relationships/hyperlink" Target="https://drive.google.com/uc?export=view&amp;id=11CaqiUGLs3kGMBfADa-RblCogjb_Q9is" TargetMode="External"/><Relationship Id="rId1610" Type="http://schemas.openxmlformats.org/officeDocument/2006/relationships/hyperlink" Target="https://drive.google.com/uc?export=view&amp;id=1YFegDv9BTcK6To3Z2K5Lj4jet62Bfmsx" TargetMode="External"/><Relationship Id="rId1611" Type="http://schemas.openxmlformats.org/officeDocument/2006/relationships/hyperlink" Target="https://drive.google.com/file/d/1nkkjJcOPCpP7lvod6HzpoFGiIqIvqlFh/view?usp=drivesdk" TargetMode="External"/><Relationship Id="rId1612" Type="http://schemas.openxmlformats.org/officeDocument/2006/relationships/hyperlink" Target="https://drive.google.com/uc?export=view&amp;id=1nkkjJcOPCpP7lvod6HzpoFGiIqIvqlFh" TargetMode="External"/><Relationship Id="rId1613" Type="http://schemas.openxmlformats.org/officeDocument/2006/relationships/hyperlink" Target="https://drive.google.com/file/d/1drrZIEJM0jT85asYJIEuG-Mk2vS3bDF8/view?usp=drivesdk" TargetMode="External"/><Relationship Id="rId1614" Type="http://schemas.openxmlformats.org/officeDocument/2006/relationships/hyperlink" Target="https://drive.google.com/uc?export=view&amp;id=1drrZIEJM0jT85asYJIEuG-Mk2vS3bDF8" TargetMode="External"/><Relationship Id="rId1615" Type="http://schemas.openxmlformats.org/officeDocument/2006/relationships/hyperlink" Target="https://drive.google.com/file/d/1oOY1e-sjEgqfkCIDKQ25uBlBIPq2OdjZ/view?usp=drivesdk" TargetMode="External"/><Relationship Id="rId1616" Type="http://schemas.openxmlformats.org/officeDocument/2006/relationships/hyperlink" Target="https://drive.google.com/uc?export=view&amp;id=1oOY1e-sjEgqfkCIDKQ25uBlBIPq2OdjZ" TargetMode="External"/><Relationship Id="rId907" Type="http://schemas.openxmlformats.org/officeDocument/2006/relationships/hyperlink" Target="https://drive.google.com/file/d/18OnWHfoTFMjmMICIL2ylYVdIs4F3wonr/view?usp=drivesdk" TargetMode="External"/><Relationship Id="rId1617" Type="http://schemas.openxmlformats.org/officeDocument/2006/relationships/hyperlink" Target="https://drive.google.com/file/d/1xk_nTBPNU2WIBVjT68wM5Ik4mGZE8BDR/view?usp=drivesdk" TargetMode="External"/><Relationship Id="rId906" Type="http://schemas.openxmlformats.org/officeDocument/2006/relationships/hyperlink" Target="https://drive.google.com/uc?export=view&amp;id=1MXJPC0hpcdKs1icWImlNfy_8W_B-ocmr" TargetMode="External"/><Relationship Id="rId1618" Type="http://schemas.openxmlformats.org/officeDocument/2006/relationships/hyperlink" Target="https://drive.google.com/uc?export=view&amp;id=1xk_nTBPNU2WIBVjT68wM5Ik4mGZE8BDR" TargetMode="External"/><Relationship Id="rId905" Type="http://schemas.openxmlformats.org/officeDocument/2006/relationships/hyperlink" Target="https://drive.google.com/file/d/1MXJPC0hpcdKs1icWImlNfy_8W_B-ocmr/view?usp=drivesdk" TargetMode="External"/><Relationship Id="rId1619" Type="http://schemas.openxmlformats.org/officeDocument/2006/relationships/hyperlink" Target="https://drive.google.com/file/d/1EyXjyzdrubTk0aEl3cahMdxoFDlPTbfe/view?usp=drivesdk" TargetMode="External"/><Relationship Id="rId904" Type="http://schemas.openxmlformats.org/officeDocument/2006/relationships/hyperlink" Target="https://drive.google.com/uc?export=view&amp;id=1xgGDHbPpXT_zE4MinyIT5qQutwgONSzH" TargetMode="External"/><Relationship Id="rId909" Type="http://schemas.openxmlformats.org/officeDocument/2006/relationships/hyperlink" Target="https://drive.google.com/file/d/1kI-JQ7BRuuZ0qy7LFN_bqNFnNSJKXX2l/view?usp=drivesdk" TargetMode="External"/><Relationship Id="rId908" Type="http://schemas.openxmlformats.org/officeDocument/2006/relationships/hyperlink" Target="https://drive.google.com/uc?export=view&amp;id=18OnWHfoTFMjmMICIL2ylYVdIs4F3wonr" TargetMode="External"/><Relationship Id="rId903" Type="http://schemas.openxmlformats.org/officeDocument/2006/relationships/hyperlink" Target="https://drive.google.com/file/d/1xgGDHbPpXT_zE4MinyIT5qQutwgONSzH/view?usp=drivesdk" TargetMode="External"/><Relationship Id="rId902" Type="http://schemas.openxmlformats.org/officeDocument/2006/relationships/hyperlink" Target="https://drive.google.com/uc?export=view&amp;id=1WbwisamXYCOjqIkpIhKp1NVqd_--N99b" TargetMode="External"/><Relationship Id="rId901" Type="http://schemas.openxmlformats.org/officeDocument/2006/relationships/hyperlink" Target="https://drive.google.com/file/d/1WbwisamXYCOjqIkpIhKp1NVqd_--N99b/view?usp=drivesdk" TargetMode="External"/><Relationship Id="rId900" Type="http://schemas.openxmlformats.org/officeDocument/2006/relationships/hyperlink" Target="https://drive.google.com/uc?export=view&amp;id=1zc-R-FrC2P4JGBl6egEzahfptssoMjRL" TargetMode="External"/><Relationship Id="rId1600" Type="http://schemas.openxmlformats.org/officeDocument/2006/relationships/hyperlink" Target="https://drive.google.com/uc?export=view&amp;id=1RMj4w24ikpGmjn647oFNdOsJpREhH6GZ" TargetMode="External"/><Relationship Id="rId1601" Type="http://schemas.openxmlformats.org/officeDocument/2006/relationships/hyperlink" Target="https://drive.google.com/file/d/1oCFWdUAoE9ZPmnqzQtdQBOBNlsis-J3q/view?usp=drivesdk" TargetMode="External"/><Relationship Id="rId1602" Type="http://schemas.openxmlformats.org/officeDocument/2006/relationships/hyperlink" Target="https://drive.google.com/uc?export=view&amp;id=1oCFWdUAoE9ZPmnqzQtdQBOBNlsis-J3q" TargetMode="External"/><Relationship Id="rId1603" Type="http://schemas.openxmlformats.org/officeDocument/2006/relationships/hyperlink" Target="https://drive.google.com/file/d/1xsF6kyv8cwp5SLR70azD7byxF_mpvmr5/view?usp=drivesdk" TargetMode="External"/><Relationship Id="rId1604" Type="http://schemas.openxmlformats.org/officeDocument/2006/relationships/hyperlink" Target="https://drive.google.com/uc?export=view&amp;id=1xsF6kyv8cwp5SLR70azD7byxF_mpvmr5" TargetMode="External"/><Relationship Id="rId1605" Type="http://schemas.openxmlformats.org/officeDocument/2006/relationships/hyperlink" Target="https://drive.google.com/file/d/1MuP75rw-f8mM2rXlh3fPr77I4189HHpA/view?usp=drivesdk" TargetMode="External"/><Relationship Id="rId1606" Type="http://schemas.openxmlformats.org/officeDocument/2006/relationships/hyperlink" Target="https://drive.google.com/uc?export=view&amp;id=1MuP75rw-f8mM2rXlh3fPr77I4189HHpA" TargetMode="External"/><Relationship Id="rId1607" Type="http://schemas.openxmlformats.org/officeDocument/2006/relationships/hyperlink" Target="https://drive.google.com/file/d/10pC-DIQUINqDFZiR40n4DAHZ-KutKgxJ/view?usp=drivesdk" TargetMode="External"/><Relationship Id="rId1608" Type="http://schemas.openxmlformats.org/officeDocument/2006/relationships/hyperlink" Target="https://drive.google.com/uc?export=view&amp;id=10pC-DIQUINqDFZiR40n4DAHZ-KutKgxJ" TargetMode="External"/><Relationship Id="rId1609" Type="http://schemas.openxmlformats.org/officeDocument/2006/relationships/hyperlink" Target="https://drive.google.com/file/d/1YFegDv9BTcK6To3Z2K5Lj4jet62Bfmsx/view?usp=drivesdk" TargetMode="External"/><Relationship Id="rId1631" Type="http://schemas.openxmlformats.org/officeDocument/2006/relationships/hyperlink" Target="https://drive.google.com/file/d/1_KSsMKG8TZZ3FkHJsFpGLC5QaqA5Uqby/view?usp=drivesdk" TargetMode="External"/><Relationship Id="rId1632" Type="http://schemas.openxmlformats.org/officeDocument/2006/relationships/hyperlink" Target="https://drive.google.com/uc?export=view&amp;id=1_KSsMKG8TZZ3FkHJsFpGLC5QaqA5Uqby" TargetMode="External"/><Relationship Id="rId1633" Type="http://schemas.openxmlformats.org/officeDocument/2006/relationships/hyperlink" Target="https://drive.google.com/file/d/1gT4qM2-taXizp-6-mUcIa5-2CzapZe8F/view?usp=drivesdk" TargetMode="External"/><Relationship Id="rId1634" Type="http://schemas.openxmlformats.org/officeDocument/2006/relationships/hyperlink" Target="https://drive.google.com/uc?export=view&amp;id=1gT4qM2-taXizp-6-mUcIa5-2CzapZe8F" TargetMode="External"/><Relationship Id="rId1635" Type="http://schemas.openxmlformats.org/officeDocument/2006/relationships/hyperlink" Target="https://drive.google.com/file/d/1igdCU_K7XVpZ6p-YuKOHgNVaoY3t90jl/view?usp=drivesdk" TargetMode="External"/><Relationship Id="rId1636" Type="http://schemas.openxmlformats.org/officeDocument/2006/relationships/hyperlink" Target="https://drive.google.com/uc?export=view&amp;id=1igdCU_K7XVpZ6p-YuKOHgNVaoY3t90jl" TargetMode="External"/><Relationship Id="rId1637" Type="http://schemas.openxmlformats.org/officeDocument/2006/relationships/hyperlink" Target="https://drive.google.com/file/d/1NhMXvC_tWt5EJj9JW9womCH_50Q4sFZq/view?usp=drivesdk" TargetMode="External"/><Relationship Id="rId1638" Type="http://schemas.openxmlformats.org/officeDocument/2006/relationships/hyperlink" Target="https://drive.google.com/uc?export=view&amp;id=1NhMXvC_tWt5EJj9JW9womCH_50Q4sFZq" TargetMode="External"/><Relationship Id="rId929" Type="http://schemas.openxmlformats.org/officeDocument/2006/relationships/hyperlink" Target="https://drive.google.com/file/d/1SiGz51S9uA6SemaywcrKX9bj_EYxzwaf/view?usp=drivesdk" TargetMode="External"/><Relationship Id="rId1639" Type="http://schemas.openxmlformats.org/officeDocument/2006/relationships/hyperlink" Target="https://drive.google.com/file/d/1UacGgMw1gWaxsUz8C6C_hAYBLI_ZJ4I0/view?usp=drivesdk" TargetMode="External"/><Relationship Id="rId928" Type="http://schemas.openxmlformats.org/officeDocument/2006/relationships/hyperlink" Target="https://drive.google.com/uc?export=view&amp;id=1saa31k6jkLDZB5oBspG3smmdjNZFqE1-" TargetMode="External"/><Relationship Id="rId927" Type="http://schemas.openxmlformats.org/officeDocument/2006/relationships/hyperlink" Target="https://drive.google.com/file/d/1saa31k6jkLDZB5oBspG3smmdjNZFqE1-/view?usp=drivesdk" TargetMode="External"/><Relationship Id="rId926" Type="http://schemas.openxmlformats.org/officeDocument/2006/relationships/hyperlink" Target="https://drive.google.com/uc?export=view&amp;id=1VhX-hTs3dPv8VXNFg4l7bYfMq8fXnNdp" TargetMode="External"/><Relationship Id="rId921" Type="http://schemas.openxmlformats.org/officeDocument/2006/relationships/hyperlink" Target="https://drive.google.com/file/d/1S-fOqI_m41G5YNReShxiy7ZOBhuapthk/view?usp=drivesdk" TargetMode="External"/><Relationship Id="rId920" Type="http://schemas.openxmlformats.org/officeDocument/2006/relationships/hyperlink" Target="https://drive.google.com/uc?export=view&amp;id=1lT7TXEumt4vwNSWlJHv-rQlP7AmR4ej5" TargetMode="External"/><Relationship Id="rId925" Type="http://schemas.openxmlformats.org/officeDocument/2006/relationships/hyperlink" Target="https://drive.google.com/file/d/1VhX-hTs3dPv8VXNFg4l7bYfMq8fXnNdp/view?usp=drivesdk" TargetMode="External"/><Relationship Id="rId924" Type="http://schemas.openxmlformats.org/officeDocument/2006/relationships/hyperlink" Target="https://drive.google.com/uc?export=view&amp;id=1wiqKTVAnlXMEAPMApWTta1FG0p-W04ki" TargetMode="External"/><Relationship Id="rId923" Type="http://schemas.openxmlformats.org/officeDocument/2006/relationships/hyperlink" Target="https://drive.google.com/file/d/1wiqKTVAnlXMEAPMApWTta1FG0p-W04ki/view?usp=drivesdk" TargetMode="External"/><Relationship Id="rId922" Type="http://schemas.openxmlformats.org/officeDocument/2006/relationships/hyperlink" Target="https://drive.google.com/uc?export=view&amp;id=1S-fOqI_m41G5YNReShxiy7ZOBhuapthk" TargetMode="External"/><Relationship Id="rId1630" Type="http://schemas.openxmlformats.org/officeDocument/2006/relationships/hyperlink" Target="https://drive.google.com/uc?export=view&amp;id=12Pv9SeDQ9hdTErLxS0KLU91-J_1TjFBd" TargetMode="External"/><Relationship Id="rId1620" Type="http://schemas.openxmlformats.org/officeDocument/2006/relationships/hyperlink" Target="https://drive.google.com/uc?export=view&amp;id=1EyXjyzdrubTk0aEl3cahMdxoFDlPTbfe" TargetMode="External"/><Relationship Id="rId1621" Type="http://schemas.openxmlformats.org/officeDocument/2006/relationships/hyperlink" Target="https://drive.google.com/file/d/178zlSL6v0X8LJcR-NseYmzlZ1n6sv3AX/view?usp=drivesdk" TargetMode="External"/><Relationship Id="rId1622" Type="http://schemas.openxmlformats.org/officeDocument/2006/relationships/hyperlink" Target="https://drive.google.com/uc?export=view&amp;id=178zlSL6v0X8LJcR-NseYmzlZ1n6sv3AX" TargetMode="External"/><Relationship Id="rId1623" Type="http://schemas.openxmlformats.org/officeDocument/2006/relationships/hyperlink" Target="https://drive.google.com/file/d/1SIdJdkQ5B11SGwUyMNK-C3ymW7-eswhn/view?usp=drivesdk" TargetMode="External"/><Relationship Id="rId1624" Type="http://schemas.openxmlformats.org/officeDocument/2006/relationships/hyperlink" Target="https://drive.google.com/uc?export=view&amp;id=1SIdJdkQ5B11SGwUyMNK-C3ymW7-eswhn" TargetMode="External"/><Relationship Id="rId1625" Type="http://schemas.openxmlformats.org/officeDocument/2006/relationships/hyperlink" Target="https://drive.google.com/file/d/1w4iLuyOvLuXqUf_eU3g091RnL8ik8URZ/view?usp=drivesdk" TargetMode="External"/><Relationship Id="rId1626" Type="http://schemas.openxmlformats.org/officeDocument/2006/relationships/hyperlink" Target="https://drive.google.com/uc?export=view&amp;id=1w4iLuyOvLuXqUf_eU3g091RnL8ik8URZ" TargetMode="External"/><Relationship Id="rId1627" Type="http://schemas.openxmlformats.org/officeDocument/2006/relationships/hyperlink" Target="https://drive.google.com/file/d/1Z5mDOSyyT8mZ8-IF8otzlBwA5-Hs158M/view?usp=drivesdk" TargetMode="External"/><Relationship Id="rId918" Type="http://schemas.openxmlformats.org/officeDocument/2006/relationships/hyperlink" Target="https://drive.google.com/uc?export=view&amp;id=1l7jSws-F3WhYK4TJLHwPDeeQZ7z-YeUl" TargetMode="External"/><Relationship Id="rId1628" Type="http://schemas.openxmlformats.org/officeDocument/2006/relationships/hyperlink" Target="https://drive.google.com/uc?export=view&amp;id=1Z5mDOSyyT8mZ8-IF8otzlBwA5-Hs158M" TargetMode="External"/><Relationship Id="rId917" Type="http://schemas.openxmlformats.org/officeDocument/2006/relationships/hyperlink" Target="https://drive.google.com/file/d/1l7jSws-F3WhYK4TJLHwPDeeQZ7z-YeUl/view?usp=drivesdk" TargetMode="External"/><Relationship Id="rId1629" Type="http://schemas.openxmlformats.org/officeDocument/2006/relationships/hyperlink" Target="https://drive.google.com/file/d/12Pv9SeDQ9hdTErLxS0KLU91-J_1TjFBd/view?usp=drivesdk" TargetMode="External"/><Relationship Id="rId916" Type="http://schemas.openxmlformats.org/officeDocument/2006/relationships/hyperlink" Target="https://drive.google.com/uc?export=view&amp;id=1-eg8IHqyP-oWTUUgxIJMDImPUFA3VzXi" TargetMode="External"/><Relationship Id="rId915" Type="http://schemas.openxmlformats.org/officeDocument/2006/relationships/hyperlink" Target="https://drive.google.com/file/d/1-eg8IHqyP-oWTUUgxIJMDImPUFA3VzXi/view?usp=drivesdk" TargetMode="External"/><Relationship Id="rId919" Type="http://schemas.openxmlformats.org/officeDocument/2006/relationships/hyperlink" Target="https://drive.google.com/file/d/1lT7TXEumt4vwNSWlJHv-rQlP7AmR4ej5/view?usp=drivesdk" TargetMode="External"/><Relationship Id="rId910" Type="http://schemas.openxmlformats.org/officeDocument/2006/relationships/hyperlink" Target="https://drive.google.com/uc?export=view&amp;id=1kI-JQ7BRuuZ0qy7LFN_bqNFnNSJKXX2l" TargetMode="External"/><Relationship Id="rId914" Type="http://schemas.openxmlformats.org/officeDocument/2006/relationships/hyperlink" Target="https://drive.google.com/uc?export=view&amp;id=1NxdecZQ-AS1BUzteKgk8-6gyD0LCgqYd" TargetMode="External"/><Relationship Id="rId913" Type="http://schemas.openxmlformats.org/officeDocument/2006/relationships/hyperlink" Target="https://drive.google.com/file/d/1NxdecZQ-AS1BUzteKgk8-6gyD0LCgqYd/view?usp=drivesdk" TargetMode="External"/><Relationship Id="rId912" Type="http://schemas.openxmlformats.org/officeDocument/2006/relationships/hyperlink" Target="https://drive.google.com/uc?export=view&amp;id=1x4bCvEfqQ_YSWTZQYQO73M-SPhPpUCTu" TargetMode="External"/><Relationship Id="rId911" Type="http://schemas.openxmlformats.org/officeDocument/2006/relationships/hyperlink" Target="https://drive.google.com/file/d/1x4bCvEfqQ_YSWTZQYQO73M-SPhPpUCTu/view?usp=drivesdk" TargetMode="External"/><Relationship Id="rId1213" Type="http://schemas.openxmlformats.org/officeDocument/2006/relationships/hyperlink" Target="https://drive.google.com/file/d/1CwfwOvuSc7-v2-zEmYRsB4VLHqA9hCw5/view?usp=drivesdk" TargetMode="External"/><Relationship Id="rId1697" Type="http://schemas.openxmlformats.org/officeDocument/2006/relationships/hyperlink" Target="https://drive.google.com/file/d/1zunggWwmX_0SGfBh97m1st1Yb9YK4RFa/view?usp=drivesdk" TargetMode="External"/><Relationship Id="rId1214" Type="http://schemas.openxmlformats.org/officeDocument/2006/relationships/hyperlink" Target="https://drive.google.com/uc?export=view&amp;id=1CwfwOvuSc7-v2-zEmYRsB4VLHqA9hCw5" TargetMode="External"/><Relationship Id="rId1698" Type="http://schemas.openxmlformats.org/officeDocument/2006/relationships/hyperlink" Target="https://drive.google.com/uc?export=view&amp;id=1zunggWwmX_0SGfBh97m1st1Yb9YK4RFa" TargetMode="External"/><Relationship Id="rId1215" Type="http://schemas.openxmlformats.org/officeDocument/2006/relationships/hyperlink" Target="https://drive.google.com/file/d/1Jh_pFXPIhCPLZ3f0a55khZA1PcXzE__w/view?usp=drivesdk" TargetMode="External"/><Relationship Id="rId1699" Type="http://schemas.openxmlformats.org/officeDocument/2006/relationships/hyperlink" Target="https://drive.google.com/file/d/1PTaEDA9ihKSqMqC8hGiioJIRtSyb4Jc6/view?usp=drivesdk" TargetMode="External"/><Relationship Id="rId1216" Type="http://schemas.openxmlformats.org/officeDocument/2006/relationships/hyperlink" Target="https://drive.google.com/uc?export=view&amp;id=1Jh_pFXPIhCPLZ3f0a55khZA1PcXzE__w" TargetMode="External"/><Relationship Id="rId1217" Type="http://schemas.openxmlformats.org/officeDocument/2006/relationships/hyperlink" Target="https://drive.google.com/file/d/1uW1n9S8mcWEVshIFxGove6FEh4FxbcjF/view?usp=drivesdk" TargetMode="External"/><Relationship Id="rId1218" Type="http://schemas.openxmlformats.org/officeDocument/2006/relationships/hyperlink" Target="https://drive.google.com/uc?export=view&amp;id=1uW1n9S8mcWEVshIFxGove6FEh4FxbcjF" TargetMode="External"/><Relationship Id="rId1219" Type="http://schemas.openxmlformats.org/officeDocument/2006/relationships/hyperlink" Target="https://drive.google.com/file/d/1AT57hhML41aJJE3u0JbLK2Y9tdzEFyEr/view?usp=drivesdk" TargetMode="External"/><Relationship Id="rId866" Type="http://schemas.openxmlformats.org/officeDocument/2006/relationships/hyperlink" Target="https://drive.google.com/uc?export=view&amp;id=1PHfOE5QG2UJajjVAZwqECKWJv_DMbAFM" TargetMode="External"/><Relationship Id="rId865" Type="http://schemas.openxmlformats.org/officeDocument/2006/relationships/hyperlink" Target="https://drive.google.com/file/d/1PHfOE5QG2UJajjVAZwqECKWJv_DMbAFM/view?usp=drivesdk" TargetMode="External"/><Relationship Id="rId864" Type="http://schemas.openxmlformats.org/officeDocument/2006/relationships/hyperlink" Target="https://drive.google.com/uc?export=view&amp;id=1DkmOjOB01doVpQaHUYkdpJPWtDMk3768" TargetMode="External"/><Relationship Id="rId863" Type="http://schemas.openxmlformats.org/officeDocument/2006/relationships/hyperlink" Target="https://drive.google.com/file/d/1DkmOjOB01doVpQaHUYkdpJPWtDMk3768/view?usp=drivesdk" TargetMode="External"/><Relationship Id="rId869" Type="http://schemas.openxmlformats.org/officeDocument/2006/relationships/hyperlink" Target="https://drive.google.com/file/d/1dLhp2nFjZ03FCkL1MrC2jLfcQBr0t5B_/view?usp=drivesdk" TargetMode="External"/><Relationship Id="rId868" Type="http://schemas.openxmlformats.org/officeDocument/2006/relationships/hyperlink" Target="https://drive.google.com/uc?export=view&amp;id=1a8MbYosX38kOn4oHtPtWawb_JlF3LYob" TargetMode="External"/><Relationship Id="rId867" Type="http://schemas.openxmlformats.org/officeDocument/2006/relationships/hyperlink" Target="https://drive.google.com/file/d/1a8MbYosX38kOn4oHtPtWawb_JlF3LYob/view?usp=drivesdk" TargetMode="External"/><Relationship Id="rId1690" Type="http://schemas.openxmlformats.org/officeDocument/2006/relationships/hyperlink" Target="https://drive.google.com/uc?export=view&amp;id=1EhkOUIPcQFFL16lCtQLq_gWMEfbQj3UX" TargetMode="External"/><Relationship Id="rId1691" Type="http://schemas.openxmlformats.org/officeDocument/2006/relationships/hyperlink" Target="https://drive.google.com/file/d/1ubRsMojiW5ZxeCLLWIDA73gs0jWW4_Aj/view?usp=drivesdk" TargetMode="External"/><Relationship Id="rId1692" Type="http://schemas.openxmlformats.org/officeDocument/2006/relationships/hyperlink" Target="https://drive.google.com/uc?export=view&amp;id=1ubRsMojiW5ZxeCLLWIDA73gs0jWW4_Aj" TargetMode="External"/><Relationship Id="rId862" Type="http://schemas.openxmlformats.org/officeDocument/2006/relationships/hyperlink" Target="https://drive.google.com/uc?export=view&amp;id=1gmqA1DnsaWUArnu3hqmlZ2sLM6ZQ5_ne" TargetMode="External"/><Relationship Id="rId1693" Type="http://schemas.openxmlformats.org/officeDocument/2006/relationships/hyperlink" Target="https://drive.google.com/file/d/1Uyh_lWfqbEV3llXxUVpzQiSvFoFk4blG/view?usp=drivesdk" TargetMode="External"/><Relationship Id="rId861" Type="http://schemas.openxmlformats.org/officeDocument/2006/relationships/hyperlink" Target="https://drive.google.com/file/d/1gmqA1DnsaWUArnu3hqmlZ2sLM6ZQ5_ne/view?usp=drivesdk" TargetMode="External"/><Relationship Id="rId1210" Type="http://schemas.openxmlformats.org/officeDocument/2006/relationships/hyperlink" Target="https://drive.google.com/uc?export=view&amp;id=10wKdlnynIu_--RaOOPEwJ2KEZ9LNtLO6" TargetMode="External"/><Relationship Id="rId1694" Type="http://schemas.openxmlformats.org/officeDocument/2006/relationships/hyperlink" Target="https://drive.google.com/uc?export=view&amp;id=1Uyh_lWfqbEV3llXxUVpzQiSvFoFk4blG" TargetMode="External"/><Relationship Id="rId860" Type="http://schemas.openxmlformats.org/officeDocument/2006/relationships/hyperlink" Target="https://drive.google.com/uc?export=view&amp;id=1KLBuPZ8NzoI8iE_hU5DLX5Z_gA5bOiPZ" TargetMode="External"/><Relationship Id="rId1211" Type="http://schemas.openxmlformats.org/officeDocument/2006/relationships/hyperlink" Target="https://drive.google.com/file/d/1-9OyAK5wbtycstrN7fMATDNhJ1QhppXg/view?usp=drivesdk" TargetMode="External"/><Relationship Id="rId1695" Type="http://schemas.openxmlformats.org/officeDocument/2006/relationships/hyperlink" Target="https://drive.google.com/file/d/1xWXyuhtg88DX1V_kEkS3tnFXDbpWtIwy/view?usp=drivesdk" TargetMode="External"/><Relationship Id="rId1212" Type="http://schemas.openxmlformats.org/officeDocument/2006/relationships/hyperlink" Target="https://drive.google.com/uc?export=view&amp;id=1-9OyAK5wbtycstrN7fMATDNhJ1QhppXg" TargetMode="External"/><Relationship Id="rId1696" Type="http://schemas.openxmlformats.org/officeDocument/2006/relationships/hyperlink" Target="https://drive.google.com/uc?export=view&amp;id=1xWXyuhtg88DX1V_kEkS3tnFXDbpWtIwy" TargetMode="External"/><Relationship Id="rId1202" Type="http://schemas.openxmlformats.org/officeDocument/2006/relationships/hyperlink" Target="https://drive.google.com/uc?export=view&amp;id=1XpuIwDNerGz02ymCsqx-EMdNxkg2-peV" TargetMode="External"/><Relationship Id="rId1686" Type="http://schemas.openxmlformats.org/officeDocument/2006/relationships/hyperlink" Target="https://drive.google.com/uc?export=view&amp;id=1obQfPuFOsMUYh4SrrzOw1ckDcb4aGVIY" TargetMode="External"/><Relationship Id="rId1203" Type="http://schemas.openxmlformats.org/officeDocument/2006/relationships/hyperlink" Target="https://drive.google.com/file/d/1DON8yDuOUzdLdlFtsygdn-OFXp5kD5jR/view?usp=drivesdk" TargetMode="External"/><Relationship Id="rId1687" Type="http://schemas.openxmlformats.org/officeDocument/2006/relationships/hyperlink" Target="https://drive.google.com/file/d/1qNdLHHbA1_2hGzABLn8Bs0zZTiV-NEdG/view?usp=drivesdk" TargetMode="External"/><Relationship Id="rId1204" Type="http://schemas.openxmlformats.org/officeDocument/2006/relationships/hyperlink" Target="https://drive.google.com/uc?export=view&amp;id=1DON8yDuOUzdLdlFtsygdn-OFXp5kD5jR" TargetMode="External"/><Relationship Id="rId1688" Type="http://schemas.openxmlformats.org/officeDocument/2006/relationships/hyperlink" Target="https://drive.google.com/uc?export=view&amp;id=1qNdLHHbA1_2hGzABLn8Bs0zZTiV-NEdG" TargetMode="External"/><Relationship Id="rId1205" Type="http://schemas.openxmlformats.org/officeDocument/2006/relationships/hyperlink" Target="https://drive.google.com/file/d/16rnqz5QEAbVYDfscoo686-dGPcNxCzIA/view?usp=drivesdk" TargetMode="External"/><Relationship Id="rId1689" Type="http://schemas.openxmlformats.org/officeDocument/2006/relationships/hyperlink" Target="https://drive.google.com/file/d/1EhkOUIPcQFFL16lCtQLq_gWMEfbQj3UX/view?usp=drivesdk" TargetMode="External"/><Relationship Id="rId1206" Type="http://schemas.openxmlformats.org/officeDocument/2006/relationships/hyperlink" Target="https://drive.google.com/uc?export=view&amp;id=16rnqz5QEAbVYDfscoo686-dGPcNxCzIA" TargetMode="External"/><Relationship Id="rId1207" Type="http://schemas.openxmlformats.org/officeDocument/2006/relationships/hyperlink" Target="https://drive.google.com/file/d/1lGCsr9mAZVc4EUIiBOAaEMFH07t3UCfH/view?usp=drivesdk" TargetMode="External"/><Relationship Id="rId1208" Type="http://schemas.openxmlformats.org/officeDocument/2006/relationships/hyperlink" Target="https://drive.google.com/uc?export=view&amp;id=1lGCsr9mAZVc4EUIiBOAaEMFH07t3UCfH" TargetMode="External"/><Relationship Id="rId1209" Type="http://schemas.openxmlformats.org/officeDocument/2006/relationships/hyperlink" Target="https://drive.google.com/file/d/10wKdlnynIu_--RaOOPEwJ2KEZ9LNtLO6/view?usp=drivesdk" TargetMode="External"/><Relationship Id="rId855" Type="http://schemas.openxmlformats.org/officeDocument/2006/relationships/hyperlink" Target="https://drive.google.com/file/d/1A23LKrfF81cvyCXKLWn2bFvtYZDzNeuh/view?usp=drivesdk" TargetMode="External"/><Relationship Id="rId854" Type="http://schemas.openxmlformats.org/officeDocument/2006/relationships/hyperlink" Target="https://drive.google.com/uc?export=view&amp;id=1r-XVooowrDQ5fhu-QsSc0sHbztebcgcn" TargetMode="External"/><Relationship Id="rId853" Type="http://schemas.openxmlformats.org/officeDocument/2006/relationships/hyperlink" Target="https://drive.google.com/file/d/1r-XVooowrDQ5fhu-QsSc0sHbztebcgcn/view?usp=drivesdk" TargetMode="External"/><Relationship Id="rId852" Type="http://schemas.openxmlformats.org/officeDocument/2006/relationships/hyperlink" Target="https://drive.google.com/uc?export=view&amp;id=1zBrj-AdocN7rWBgCbtZznE7Pl-FDmT6G" TargetMode="External"/><Relationship Id="rId859" Type="http://schemas.openxmlformats.org/officeDocument/2006/relationships/hyperlink" Target="https://drive.google.com/file/d/1KLBuPZ8NzoI8iE_hU5DLX5Z_gA5bOiPZ/view?usp=drivesdk" TargetMode="External"/><Relationship Id="rId858" Type="http://schemas.openxmlformats.org/officeDocument/2006/relationships/hyperlink" Target="https://drive.google.com/uc?export=view&amp;id=1mN7_a9OXor7rkAAeZGvg-ocVb1LFNk3-" TargetMode="External"/><Relationship Id="rId857" Type="http://schemas.openxmlformats.org/officeDocument/2006/relationships/hyperlink" Target="https://drive.google.com/file/d/1mN7_a9OXor7rkAAeZGvg-ocVb1LFNk3-/view?usp=drivesdk" TargetMode="External"/><Relationship Id="rId856" Type="http://schemas.openxmlformats.org/officeDocument/2006/relationships/hyperlink" Target="https://drive.google.com/uc?export=view&amp;id=1A23LKrfF81cvyCXKLWn2bFvtYZDzNeuh" TargetMode="External"/><Relationship Id="rId1680" Type="http://schemas.openxmlformats.org/officeDocument/2006/relationships/hyperlink" Target="https://drive.google.com/uc?export=view&amp;id=175OmnED6Y0zMsGVLfLiRaxKj3e57iJBX" TargetMode="External"/><Relationship Id="rId1681" Type="http://schemas.openxmlformats.org/officeDocument/2006/relationships/hyperlink" Target="https://drive.google.com/file/d/19G-cA1yRMXCM8H0aapc-z-dlEMaJieRd/view?usp=drivesdk" TargetMode="External"/><Relationship Id="rId851" Type="http://schemas.openxmlformats.org/officeDocument/2006/relationships/hyperlink" Target="https://drive.google.com/file/d/1zBrj-AdocN7rWBgCbtZznE7Pl-FDmT6G/view?usp=drivesdk" TargetMode="External"/><Relationship Id="rId1682" Type="http://schemas.openxmlformats.org/officeDocument/2006/relationships/hyperlink" Target="https://drive.google.com/uc?export=view&amp;id=19G-cA1yRMXCM8H0aapc-z-dlEMaJieRd" TargetMode="External"/><Relationship Id="rId850" Type="http://schemas.openxmlformats.org/officeDocument/2006/relationships/hyperlink" Target="https://drive.google.com/uc?export=view&amp;id=1BNlfHCaPwDHKMkavwufM5HsvZafukTIo" TargetMode="External"/><Relationship Id="rId1683" Type="http://schemas.openxmlformats.org/officeDocument/2006/relationships/hyperlink" Target="https://drive.google.com/file/d/1726GUvlnCKG_rbY1YilXpAVl0XMwsxT6/view?usp=drivesdk" TargetMode="External"/><Relationship Id="rId1200" Type="http://schemas.openxmlformats.org/officeDocument/2006/relationships/hyperlink" Target="https://drive.google.com/uc?export=view&amp;id=1wLd7wwo_SrVuvUuMHDrYjFz-waIOCLZx" TargetMode="External"/><Relationship Id="rId1684" Type="http://schemas.openxmlformats.org/officeDocument/2006/relationships/hyperlink" Target="https://drive.google.com/uc?export=view&amp;id=1726GUvlnCKG_rbY1YilXpAVl0XMwsxT6" TargetMode="External"/><Relationship Id="rId1201" Type="http://schemas.openxmlformats.org/officeDocument/2006/relationships/hyperlink" Target="https://drive.google.com/file/d/1XpuIwDNerGz02ymCsqx-EMdNxkg2-peV/view?usp=drivesdk" TargetMode="External"/><Relationship Id="rId1685" Type="http://schemas.openxmlformats.org/officeDocument/2006/relationships/hyperlink" Target="https://drive.google.com/file/d/1obQfPuFOsMUYh4SrrzOw1ckDcb4aGVIY/view?usp=drivesdk" TargetMode="External"/><Relationship Id="rId1235" Type="http://schemas.openxmlformats.org/officeDocument/2006/relationships/hyperlink" Target="https://drive.google.com/file/d/1ZPjdMarV4XhkRQBjdIv7mgZPItNJJ27o/view?usp=drivesdk" TargetMode="External"/><Relationship Id="rId1236" Type="http://schemas.openxmlformats.org/officeDocument/2006/relationships/hyperlink" Target="https://drive.google.com/uc?export=view&amp;id=1ZPjdMarV4XhkRQBjdIv7mgZPItNJJ27o" TargetMode="External"/><Relationship Id="rId1237" Type="http://schemas.openxmlformats.org/officeDocument/2006/relationships/hyperlink" Target="https://drive.google.com/file/d/12hVmlW-jV_8bH-Was44REydSioFE5VuC/view?usp=drivesdk" TargetMode="External"/><Relationship Id="rId1238" Type="http://schemas.openxmlformats.org/officeDocument/2006/relationships/hyperlink" Target="https://drive.google.com/uc?export=view&amp;id=12hVmlW-jV_8bH-Was44REydSioFE5VuC" TargetMode="External"/><Relationship Id="rId1239" Type="http://schemas.openxmlformats.org/officeDocument/2006/relationships/hyperlink" Target="https://drive.google.com/file/d/1fh7Elzo9aywvE6PY6vmIZAh6cLS27ttc/view?usp=drivesdk" TargetMode="External"/><Relationship Id="rId409" Type="http://schemas.openxmlformats.org/officeDocument/2006/relationships/hyperlink" Target="https://drive.google.com/file/d/1OaB0xOxAqEDwS2R1VVTx1FOE_YY1JdHP/view?usp=drivesdk" TargetMode="External"/><Relationship Id="rId404" Type="http://schemas.openxmlformats.org/officeDocument/2006/relationships/hyperlink" Target="https://drive.google.com/uc?export=view&amp;id=17SqWFrlp5Rj-U9-gMa5qqdAq8ZxnbuSJ" TargetMode="External"/><Relationship Id="rId888" Type="http://schemas.openxmlformats.org/officeDocument/2006/relationships/hyperlink" Target="https://drive.google.com/uc?export=view&amp;id=1tNWZ1Xl3lhIGdPsyRjCInbCxR0oDqxd6" TargetMode="External"/><Relationship Id="rId403" Type="http://schemas.openxmlformats.org/officeDocument/2006/relationships/hyperlink" Target="https://drive.google.com/file/d/17SqWFrlp5Rj-U9-gMa5qqdAq8ZxnbuSJ/view?usp=drivesdk" TargetMode="External"/><Relationship Id="rId887" Type="http://schemas.openxmlformats.org/officeDocument/2006/relationships/hyperlink" Target="https://drive.google.com/file/d/1tNWZ1Xl3lhIGdPsyRjCInbCxR0oDqxd6/view?usp=drivesdk" TargetMode="External"/><Relationship Id="rId402" Type="http://schemas.openxmlformats.org/officeDocument/2006/relationships/hyperlink" Target="https://drive.google.com/uc?export=view&amp;id=1rDNMqdp40yhzm9QVtGdhB1aZL6FBw61m" TargetMode="External"/><Relationship Id="rId886" Type="http://schemas.openxmlformats.org/officeDocument/2006/relationships/hyperlink" Target="https://drive.google.com/uc?export=view&amp;id=1NmLnCrGTtt3JrIrJIo2YML3aJGnEIr3_" TargetMode="External"/><Relationship Id="rId401" Type="http://schemas.openxmlformats.org/officeDocument/2006/relationships/hyperlink" Target="https://drive.google.com/file/d/1rDNMqdp40yhzm9QVtGdhB1aZL6FBw61m/view?usp=drivesdk" TargetMode="External"/><Relationship Id="rId885" Type="http://schemas.openxmlformats.org/officeDocument/2006/relationships/hyperlink" Target="https://drive.google.com/file/d/1NmLnCrGTtt3JrIrJIo2YML3aJGnEIr3_/view?usp=drivesdk" TargetMode="External"/><Relationship Id="rId408" Type="http://schemas.openxmlformats.org/officeDocument/2006/relationships/hyperlink" Target="https://drive.google.com/uc?export=view&amp;id=1TflH8CkCNMML1VC5ttJKuMeEdLeZfFq1" TargetMode="External"/><Relationship Id="rId407" Type="http://schemas.openxmlformats.org/officeDocument/2006/relationships/hyperlink" Target="https://drive.google.com/file/d/1TflH8CkCNMML1VC5ttJKuMeEdLeZfFq1/view?usp=drivesdk" TargetMode="External"/><Relationship Id="rId406" Type="http://schemas.openxmlformats.org/officeDocument/2006/relationships/hyperlink" Target="https://drive.google.com/uc?export=view&amp;id=10__ineFm4FbtVibB_b6OosnZxzIBozz-" TargetMode="External"/><Relationship Id="rId405" Type="http://schemas.openxmlformats.org/officeDocument/2006/relationships/hyperlink" Target="https://drive.google.com/file/d/10__ineFm4FbtVibB_b6OosnZxzIBozz-/view?usp=drivesdk" TargetMode="External"/><Relationship Id="rId889" Type="http://schemas.openxmlformats.org/officeDocument/2006/relationships/hyperlink" Target="https://drive.google.com/file/d/1z4VS_JOIH8DXClHBVYH-iSN7aM2nS75i/view?usp=drivesdk" TargetMode="External"/><Relationship Id="rId880" Type="http://schemas.openxmlformats.org/officeDocument/2006/relationships/hyperlink" Target="https://drive.google.com/uc?export=view&amp;id=1Y0o1YTRwPsDwiBIXY9JhNuHkNyoQmXyF" TargetMode="External"/><Relationship Id="rId1230" Type="http://schemas.openxmlformats.org/officeDocument/2006/relationships/hyperlink" Target="https://drive.google.com/uc?export=view&amp;id=1KnJuM1VaorTcWxUmnIP42I1xehddYHEq" TargetMode="External"/><Relationship Id="rId400" Type="http://schemas.openxmlformats.org/officeDocument/2006/relationships/hyperlink" Target="https://drive.google.com/uc?export=view&amp;id=1mUR6-lSBNUK5k3h-ET_HbE5iYyVJ0wXp" TargetMode="External"/><Relationship Id="rId884" Type="http://schemas.openxmlformats.org/officeDocument/2006/relationships/hyperlink" Target="https://drive.google.com/uc?export=view&amp;id=1_E1ub-MRsCTTcW4alCeSUNxtkaKUooqH" TargetMode="External"/><Relationship Id="rId1231" Type="http://schemas.openxmlformats.org/officeDocument/2006/relationships/hyperlink" Target="https://drive.google.com/file/d/1DzaFhZHdIu1xw2owjz9BoKk2WrpLymiy/view?usp=drivesdk" TargetMode="External"/><Relationship Id="rId883" Type="http://schemas.openxmlformats.org/officeDocument/2006/relationships/hyperlink" Target="https://drive.google.com/file/d/1_E1ub-MRsCTTcW4alCeSUNxtkaKUooqH/view?usp=drivesdk" TargetMode="External"/><Relationship Id="rId1232" Type="http://schemas.openxmlformats.org/officeDocument/2006/relationships/hyperlink" Target="https://drive.google.com/uc?export=view&amp;id=1DzaFhZHdIu1xw2owjz9BoKk2WrpLymiy" TargetMode="External"/><Relationship Id="rId882" Type="http://schemas.openxmlformats.org/officeDocument/2006/relationships/hyperlink" Target="https://drive.google.com/uc?export=view&amp;id=1kBu0523Bkw8KmZ8DUMUFphM8QBYjbRNa" TargetMode="External"/><Relationship Id="rId1233" Type="http://schemas.openxmlformats.org/officeDocument/2006/relationships/hyperlink" Target="https://drive.google.com/file/d/1TYWo6cGaOhL5jkvIi4-pio3yn9aynxRQ/view?usp=drivesdk" TargetMode="External"/><Relationship Id="rId881" Type="http://schemas.openxmlformats.org/officeDocument/2006/relationships/hyperlink" Target="https://drive.google.com/file/d/1kBu0523Bkw8KmZ8DUMUFphM8QBYjbRNa/view?usp=drivesdk" TargetMode="External"/><Relationship Id="rId1234" Type="http://schemas.openxmlformats.org/officeDocument/2006/relationships/hyperlink" Target="https://drive.google.com/uc?export=view&amp;id=1TYWo6cGaOhL5jkvIi4-pio3yn9aynxRQ" TargetMode="External"/><Relationship Id="rId1224" Type="http://schemas.openxmlformats.org/officeDocument/2006/relationships/hyperlink" Target="https://drive.google.com/uc?export=view&amp;id=1VLZdTtjpQcYAozYoDzvjDxnPnn9U2E4A" TargetMode="External"/><Relationship Id="rId1225" Type="http://schemas.openxmlformats.org/officeDocument/2006/relationships/hyperlink" Target="https://drive.google.com/file/d/1-4GSqQR7s2ACWLmEpWJlH8TOL-pZzlcp/view?usp=drivesdk" TargetMode="External"/><Relationship Id="rId1226" Type="http://schemas.openxmlformats.org/officeDocument/2006/relationships/hyperlink" Target="https://drive.google.com/uc?export=view&amp;id=1-4GSqQR7s2ACWLmEpWJlH8TOL-pZzlcp" TargetMode="External"/><Relationship Id="rId1227" Type="http://schemas.openxmlformats.org/officeDocument/2006/relationships/hyperlink" Target="https://drive.google.com/file/d/1KCqicRojlPsSb7u6xQmJ2xPBx4gsu-4O/view?usp=drivesdk" TargetMode="External"/><Relationship Id="rId1228" Type="http://schemas.openxmlformats.org/officeDocument/2006/relationships/hyperlink" Target="https://drive.google.com/uc?export=view&amp;id=1KCqicRojlPsSb7u6xQmJ2xPBx4gsu-4O" TargetMode="External"/><Relationship Id="rId1229" Type="http://schemas.openxmlformats.org/officeDocument/2006/relationships/hyperlink" Target="https://drive.google.com/file/d/1KnJuM1VaorTcWxUmnIP42I1xehddYHEq/view?usp=drivesdk" TargetMode="External"/><Relationship Id="rId877" Type="http://schemas.openxmlformats.org/officeDocument/2006/relationships/hyperlink" Target="https://drive.google.com/file/d/1KRyyZmXlPn0jCkHtyJGuVfna0adYYwA6/view?usp=drivesdk" TargetMode="External"/><Relationship Id="rId876" Type="http://schemas.openxmlformats.org/officeDocument/2006/relationships/hyperlink" Target="https://drive.google.com/uc?export=view&amp;id=1glOrwGnqD8fV-rjvdOp8ZwUOshs6cPa_" TargetMode="External"/><Relationship Id="rId875" Type="http://schemas.openxmlformats.org/officeDocument/2006/relationships/hyperlink" Target="https://drive.google.com/file/d/1glOrwGnqD8fV-rjvdOp8ZwUOshs6cPa_/view?usp=drivesdk" TargetMode="External"/><Relationship Id="rId874" Type="http://schemas.openxmlformats.org/officeDocument/2006/relationships/hyperlink" Target="https://drive.google.com/uc?export=view&amp;id=1i_ysQROdbMZsUBw9k6osyxL82vUQXt1r" TargetMode="External"/><Relationship Id="rId879" Type="http://schemas.openxmlformats.org/officeDocument/2006/relationships/hyperlink" Target="https://drive.google.com/file/d/1Y0o1YTRwPsDwiBIXY9JhNuHkNyoQmXyF/view?usp=drivesdk" TargetMode="External"/><Relationship Id="rId878" Type="http://schemas.openxmlformats.org/officeDocument/2006/relationships/hyperlink" Target="https://drive.google.com/uc?export=view&amp;id=1KRyyZmXlPn0jCkHtyJGuVfna0adYYwA6" TargetMode="External"/><Relationship Id="rId873" Type="http://schemas.openxmlformats.org/officeDocument/2006/relationships/hyperlink" Target="https://drive.google.com/file/d/1i_ysQROdbMZsUBw9k6osyxL82vUQXt1r/view?usp=drivesdk" TargetMode="External"/><Relationship Id="rId1220" Type="http://schemas.openxmlformats.org/officeDocument/2006/relationships/hyperlink" Target="https://drive.google.com/uc?export=view&amp;id=1AT57hhML41aJJE3u0JbLK2Y9tdzEFyEr" TargetMode="External"/><Relationship Id="rId872" Type="http://schemas.openxmlformats.org/officeDocument/2006/relationships/hyperlink" Target="https://drive.google.com/uc?export=view&amp;id=149EdrackUP1VfYqgXfeuyZwRXZsI2IRM" TargetMode="External"/><Relationship Id="rId1221" Type="http://schemas.openxmlformats.org/officeDocument/2006/relationships/hyperlink" Target="https://drive.google.com/file/d/1l3f9abuvc0tx1HH1WP_EclbCjefkoFyd/view?usp=drivesdk" TargetMode="External"/><Relationship Id="rId871" Type="http://schemas.openxmlformats.org/officeDocument/2006/relationships/hyperlink" Target="https://drive.google.com/file/d/149EdrackUP1VfYqgXfeuyZwRXZsI2IRM/view?usp=drivesdk" TargetMode="External"/><Relationship Id="rId1222" Type="http://schemas.openxmlformats.org/officeDocument/2006/relationships/hyperlink" Target="https://drive.google.com/uc?export=view&amp;id=1l3f9abuvc0tx1HH1WP_EclbCjefkoFyd" TargetMode="External"/><Relationship Id="rId870" Type="http://schemas.openxmlformats.org/officeDocument/2006/relationships/hyperlink" Target="https://drive.google.com/uc?export=view&amp;id=1dLhp2nFjZ03FCkL1MrC2jLfcQBr0t5B_" TargetMode="External"/><Relationship Id="rId1223" Type="http://schemas.openxmlformats.org/officeDocument/2006/relationships/hyperlink" Target="https://drive.google.com/file/d/1VLZdTtjpQcYAozYoDzvjDxnPnn9U2E4A/view?usp=drivesdk" TargetMode="External"/><Relationship Id="rId1653" Type="http://schemas.openxmlformats.org/officeDocument/2006/relationships/hyperlink" Target="https://drive.google.com/file/d/1BPZspVKYq003F7-aHNTiCmZhi8XciN4S/view?usp=drivesdk" TargetMode="External"/><Relationship Id="rId1654" Type="http://schemas.openxmlformats.org/officeDocument/2006/relationships/hyperlink" Target="https://drive.google.com/uc?export=view&amp;id=1BPZspVKYq003F7-aHNTiCmZhi8XciN4S" TargetMode="External"/><Relationship Id="rId1655" Type="http://schemas.openxmlformats.org/officeDocument/2006/relationships/hyperlink" Target="https://drive.google.com/file/d/1XqN62yd0Yo26imYZXm9ieg900VU-pcNy/view?usp=drivesdk" TargetMode="External"/><Relationship Id="rId1656" Type="http://schemas.openxmlformats.org/officeDocument/2006/relationships/hyperlink" Target="https://drive.google.com/uc?export=view&amp;id=1XqN62yd0Yo26imYZXm9ieg900VU-pcNy" TargetMode="External"/><Relationship Id="rId1657" Type="http://schemas.openxmlformats.org/officeDocument/2006/relationships/hyperlink" Target="https://drive.google.com/file/d/1VBtEDGK2ySFAEDiWVB1RV4nOED_Wd8MW/view?usp=drivesdk" TargetMode="External"/><Relationship Id="rId1658" Type="http://schemas.openxmlformats.org/officeDocument/2006/relationships/hyperlink" Target="https://drive.google.com/uc?export=view&amp;id=1VBtEDGK2ySFAEDiWVB1RV4nOED_Wd8MW" TargetMode="External"/><Relationship Id="rId1659" Type="http://schemas.openxmlformats.org/officeDocument/2006/relationships/hyperlink" Target="https://drive.google.com/file/d/1BOwrHhGnAvtfDCickEU800Tc1pzFcylo/view?usp=drivesdk" TargetMode="External"/><Relationship Id="rId829" Type="http://schemas.openxmlformats.org/officeDocument/2006/relationships/hyperlink" Target="https://drive.google.com/file/d/1Y-Is5m3cOCOjjmuE4b68ioe8QuQVsvFu/view?usp=drivesdk" TargetMode="External"/><Relationship Id="rId828" Type="http://schemas.openxmlformats.org/officeDocument/2006/relationships/hyperlink" Target="https://drive.google.com/uc?export=view&amp;id=17DEFht5BMWNQEysYlUVP-CHkcLGZB6YV" TargetMode="External"/><Relationship Id="rId827" Type="http://schemas.openxmlformats.org/officeDocument/2006/relationships/hyperlink" Target="https://drive.google.com/file/d/17DEFht5BMWNQEysYlUVP-CHkcLGZB6YV/view?usp=drivesdk" TargetMode="External"/><Relationship Id="rId822" Type="http://schemas.openxmlformats.org/officeDocument/2006/relationships/hyperlink" Target="https://drive.google.com/uc?export=view&amp;id=1fSu6BToJjc6sd-JC1ffFijVNYVuxia--" TargetMode="External"/><Relationship Id="rId821" Type="http://schemas.openxmlformats.org/officeDocument/2006/relationships/hyperlink" Target="https://drive.google.com/file/d/1fSu6BToJjc6sd-JC1ffFijVNYVuxia--/view?usp=drivesdk" TargetMode="External"/><Relationship Id="rId820" Type="http://schemas.openxmlformats.org/officeDocument/2006/relationships/hyperlink" Target="https://drive.google.com/uc?export=view&amp;id=1dIQ01sJXTJlH7xjjCYmT8gNMQtI5uCSa" TargetMode="External"/><Relationship Id="rId826" Type="http://schemas.openxmlformats.org/officeDocument/2006/relationships/hyperlink" Target="https://drive.google.com/uc?export=view&amp;id=1Z5uzvk3jFalhtxVNoRK66ycEMjllqjg9" TargetMode="External"/><Relationship Id="rId825" Type="http://schemas.openxmlformats.org/officeDocument/2006/relationships/hyperlink" Target="https://drive.google.com/file/d/1Z5uzvk3jFalhtxVNoRK66ycEMjllqjg9/view?usp=drivesdk" TargetMode="External"/><Relationship Id="rId824" Type="http://schemas.openxmlformats.org/officeDocument/2006/relationships/hyperlink" Target="https://drive.google.com/uc?export=view&amp;id=1sJWhXczNq5znaE9RWy3VlHVViVtJiZij" TargetMode="External"/><Relationship Id="rId823" Type="http://schemas.openxmlformats.org/officeDocument/2006/relationships/hyperlink" Target="https://drive.google.com/file/d/1sJWhXczNq5znaE9RWy3VlHVViVtJiZij/view?usp=drivesdk" TargetMode="External"/><Relationship Id="rId1650" Type="http://schemas.openxmlformats.org/officeDocument/2006/relationships/hyperlink" Target="https://drive.google.com/uc?export=view&amp;id=13kfWxu66k7PJFDBbXT13uTV8unLMRvQQ" TargetMode="External"/><Relationship Id="rId1651" Type="http://schemas.openxmlformats.org/officeDocument/2006/relationships/hyperlink" Target="https://drive.google.com/file/d/1j5FkVuDKQsfxEiHJUnxJUqiNO2YE3C49/view?usp=drivesdk" TargetMode="External"/><Relationship Id="rId1652" Type="http://schemas.openxmlformats.org/officeDocument/2006/relationships/hyperlink" Target="https://drive.google.com/uc?export=view&amp;id=1j5FkVuDKQsfxEiHJUnxJUqiNO2YE3C49" TargetMode="External"/><Relationship Id="rId1642" Type="http://schemas.openxmlformats.org/officeDocument/2006/relationships/hyperlink" Target="https://drive.google.com/uc?export=view&amp;id=1cRo3m6os6eaLllhffr6-1fqqZCQsRECf" TargetMode="External"/><Relationship Id="rId1643" Type="http://schemas.openxmlformats.org/officeDocument/2006/relationships/hyperlink" Target="https://drive.google.com/file/d/1-Od5CVeeaNwNpL4OB7ZMCFwNSi59Awb-/view?usp=drivesdk" TargetMode="External"/><Relationship Id="rId1644" Type="http://schemas.openxmlformats.org/officeDocument/2006/relationships/hyperlink" Target="https://drive.google.com/uc?export=view&amp;id=1-Od5CVeeaNwNpL4OB7ZMCFwNSi59Awb-" TargetMode="External"/><Relationship Id="rId1645" Type="http://schemas.openxmlformats.org/officeDocument/2006/relationships/hyperlink" Target="https://drive.google.com/file/d/1QlU0x6UhH4QSctT3qgkTdzNomQKhAYcN/view?usp=drivesdk" TargetMode="External"/><Relationship Id="rId1646" Type="http://schemas.openxmlformats.org/officeDocument/2006/relationships/hyperlink" Target="https://drive.google.com/uc?export=view&amp;id=1QlU0x6UhH4QSctT3qgkTdzNomQKhAYcN" TargetMode="External"/><Relationship Id="rId1647" Type="http://schemas.openxmlformats.org/officeDocument/2006/relationships/hyperlink" Target="https://drive.google.com/file/d/18Ajfjz0zFHOucgrN-kmjCyQDjtiRvSxB/view?usp=drivesdk" TargetMode="External"/><Relationship Id="rId1648" Type="http://schemas.openxmlformats.org/officeDocument/2006/relationships/hyperlink" Target="https://drive.google.com/uc?export=view&amp;id=18Ajfjz0zFHOucgrN-kmjCyQDjtiRvSxB" TargetMode="External"/><Relationship Id="rId1649" Type="http://schemas.openxmlformats.org/officeDocument/2006/relationships/hyperlink" Target="https://drive.google.com/file/d/13kfWxu66k7PJFDBbXT13uTV8unLMRvQQ/view?usp=drivesdk" TargetMode="External"/><Relationship Id="rId819" Type="http://schemas.openxmlformats.org/officeDocument/2006/relationships/hyperlink" Target="https://drive.google.com/file/d/1dIQ01sJXTJlH7xjjCYmT8gNMQtI5uCSa/view?usp=drivesdk" TargetMode="External"/><Relationship Id="rId818" Type="http://schemas.openxmlformats.org/officeDocument/2006/relationships/hyperlink" Target="https://drive.google.com/uc?export=view&amp;id=19NuHRnJ6pzBvVWJ9v0EIz0Z92PF2iQrZ" TargetMode="External"/><Relationship Id="rId817" Type="http://schemas.openxmlformats.org/officeDocument/2006/relationships/hyperlink" Target="https://drive.google.com/file/d/19NuHRnJ6pzBvVWJ9v0EIz0Z92PF2iQrZ/view?usp=drivesdk" TargetMode="External"/><Relationship Id="rId816" Type="http://schemas.openxmlformats.org/officeDocument/2006/relationships/hyperlink" Target="https://drive.google.com/uc?export=view&amp;id=1UVqih7Xtu_15lUp4zvITVx1C6CW_4UDy" TargetMode="External"/><Relationship Id="rId811" Type="http://schemas.openxmlformats.org/officeDocument/2006/relationships/hyperlink" Target="https://drive.google.com/file/d/1x-zhZqasfeuP8RFx3nGvnyEJuD89OFtp/view?usp=drivesdk" TargetMode="External"/><Relationship Id="rId810" Type="http://schemas.openxmlformats.org/officeDocument/2006/relationships/hyperlink" Target="https://drive.google.com/uc?export=view&amp;id=1y2_sfyHrAk8LZsVmhUAqgMPoYM20k8N2" TargetMode="External"/><Relationship Id="rId815" Type="http://schemas.openxmlformats.org/officeDocument/2006/relationships/hyperlink" Target="https://drive.google.com/file/d/1UVqih7Xtu_15lUp4zvITVx1C6CW_4UDy/view?usp=drivesdk" TargetMode="External"/><Relationship Id="rId814" Type="http://schemas.openxmlformats.org/officeDocument/2006/relationships/hyperlink" Target="https://drive.google.com/uc?export=view&amp;id=1e9W_Tbq0TLRtTMZqjA-EF4gYUxJw0Swm" TargetMode="External"/><Relationship Id="rId813" Type="http://schemas.openxmlformats.org/officeDocument/2006/relationships/hyperlink" Target="https://drive.google.com/file/d/1e9W_Tbq0TLRtTMZqjA-EF4gYUxJw0Swm/view?usp=drivesdk" TargetMode="External"/><Relationship Id="rId812" Type="http://schemas.openxmlformats.org/officeDocument/2006/relationships/hyperlink" Target="https://drive.google.com/uc?export=view&amp;id=1x-zhZqasfeuP8RFx3nGvnyEJuD89OFtp" TargetMode="External"/><Relationship Id="rId1640" Type="http://schemas.openxmlformats.org/officeDocument/2006/relationships/hyperlink" Target="https://drive.google.com/uc?export=view&amp;id=1UacGgMw1gWaxsUz8C6C_hAYBLI_ZJ4I0" TargetMode="External"/><Relationship Id="rId1641" Type="http://schemas.openxmlformats.org/officeDocument/2006/relationships/hyperlink" Target="https://drive.google.com/file/d/1cRo3m6os6eaLllhffr6-1fqqZCQsRECf/view?usp=drivesdk" TargetMode="External"/><Relationship Id="rId1675" Type="http://schemas.openxmlformats.org/officeDocument/2006/relationships/hyperlink" Target="https://drive.google.com/file/d/1_ZeTiiIyknD25iX1d3fEWxWPRnEovhoo/view?usp=drivesdk" TargetMode="External"/><Relationship Id="rId1676" Type="http://schemas.openxmlformats.org/officeDocument/2006/relationships/hyperlink" Target="https://drive.google.com/uc?export=view&amp;id=1_ZeTiiIyknD25iX1d3fEWxWPRnEovhoo" TargetMode="External"/><Relationship Id="rId1677" Type="http://schemas.openxmlformats.org/officeDocument/2006/relationships/hyperlink" Target="https://drive.google.com/file/d/1cAvapjhOKhRLRaVu5K-euhS89z6q5KeB/view?usp=drivesdk" TargetMode="External"/><Relationship Id="rId1678" Type="http://schemas.openxmlformats.org/officeDocument/2006/relationships/hyperlink" Target="https://drive.google.com/uc?export=view&amp;id=1cAvapjhOKhRLRaVu5K-euhS89z6q5KeB" TargetMode="External"/><Relationship Id="rId1679" Type="http://schemas.openxmlformats.org/officeDocument/2006/relationships/hyperlink" Target="https://drive.google.com/file/d/175OmnED6Y0zMsGVLfLiRaxKj3e57iJBX/view?usp=drivesdk" TargetMode="External"/><Relationship Id="rId849" Type="http://schemas.openxmlformats.org/officeDocument/2006/relationships/hyperlink" Target="https://drive.google.com/file/d/1BNlfHCaPwDHKMkavwufM5HsvZafukTIo/view?usp=drivesdk" TargetMode="External"/><Relationship Id="rId844" Type="http://schemas.openxmlformats.org/officeDocument/2006/relationships/hyperlink" Target="https://drive.google.com/uc?export=view&amp;id=1GYBjwxfB_x7PAXEp1yXefW_DdE0JbuiX" TargetMode="External"/><Relationship Id="rId843" Type="http://schemas.openxmlformats.org/officeDocument/2006/relationships/hyperlink" Target="https://drive.google.com/file/d/1GYBjwxfB_x7PAXEp1yXefW_DdE0JbuiX/view?usp=drivesdk" TargetMode="External"/><Relationship Id="rId842" Type="http://schemas.openxmlformats.org/officeDocument/2006/relationships/hyperlink" Target="https://drive.google.com/uc?export=view&amp;id=1z-ULPidVWb4JIReW49j8ZnY3giYUBHvD" TargetMode="External"/><Relationship Id="rId841" Type="http://schemas.openxmlformats.org/officeDocument/2006/relationships/hyperlink" Target="https://drive.google.com/file/d/1z-ULPidVWb4JIReW49j8ZnY3giYUBHvD/view?usp=drivesdk" TargetMode="External"/><Relationship Id="rId848" Type="http://schemas.openxmlformats.org/officeDocument/2006/relationships/hyperlink" Target="https://drive.google.com/uc?export=view&amp;id=1ZrgF3zBY4f7KJtCxxoK6MAjvz3KsBOZR" TargetMode="External"/><Relationship Id="rId847" Type="http://schemas.openxmlformats.org/officeDocument/2006/relationships/hyperlink" Target="https://drive.google.com/file/d/1ZrgF3zBY4f7KJtCxxoK6MAjvz3KsBOZR/view?usp=drivesdk" TargetMode="External"/><Relationship Id="rId846" Type="http://schemas.openxmlformats.org/officeDocument/2006/relationships/hyperlink" Target="https://drive.google.com/uc?export=view&amp;id=1ptqb6f34pKRzCR_iF5uvxC9MsKqjrZBI" TargetMode="External"/><Relationship Id="rId845" Type="http://schemas.openxmlformats.org/officeDocument/2006/relationships/hyperlink" Target="https://drive.google.com/file/d/1ptqb6f34pKRzCR_iF5uvxC9MsKqjrZBI/view?usp=drivesdk" TargetMode="External"/><Relationship Id="rId1670" Type="http://schemas.openxmlformats.org/officeDocument/2006/relationships/hyperlink" Target="https://drive.google.com/uc?export=view&amp;id=17_SSbyCdDVEKrdD-NDrXuL001XoHU1Db" TargetMode="External"/><Relationship Id="rId840" Type="http://schemas.openxmlformats.org/officeDocument/2006/relationships/hyperlink" Target="https://drive.google.com/uc?export=view&amp;id=1U-ET8Nz2lfMUv1-ivWRSyZHCfObR3thU" TargetMode="External"/><Relationship Id="rId1671" Type="http://schemas.openxmlformats.org/officeDocument/2006/relationships/hyperlink" Target="https://drive.google.com/file/d/1JItrs5wbEe62OvPElT6g5sCKKgFagbJp/view?usp=drivesdk" TargetMode="External"/><Relationship Id="rId1672" Type="http://schemas.openxmlformats.org/officeDocument/2006/relationships/hyperlink" Target="https://drive.google.com/uc?export=view&amp;id=1JItrs5wbEe62OvPElT6g5sCKKgFagbJp" TargetMode="External"/><Relationship Id="rId1673" Type="http://schemas.openxmlformats.org/officeDocument/2006/relationships/hyperlink" Target="https://drive.google.com/file/d/144IgtItFM9w2zWdLmi-10vZXf3fVu7Lb/view?usp=drivesdk" TargetMode="External"/><Relationship Id="rId1674" Type="http://schemas.openxmlformats.org/officeDocument/2006/relationships/hyperlink" Target="https://drive.google.com/uc?export=view&amp;id=144IgtItFM9w2zWdLmi-10vZXf3fVu7Lb" TargetMode="External"/><Relationship Id="rId1664" Type="http://schemas.openxmlformats.org/officeDocument/2006/relationships/hyperlink" Target="https://drive.google.com/uc?export=view&amp;id=1ydiAYx5Jjz1JGWiInikgJHS7rAOsu9nI" TargetMode="External"/><Relationship Id="rId1665" Type="http://schemas.openxmlformats.org/officeDocument/2006/relationships/hyperlink" Target="https://drive.google.com/file/d/1CLN7Gtwtxai8AJ2mftHeLqvFz96Haztd/view?usp=drivesdk" TargetMode="External"/><Relationship Id="rId1666" Type="http://schemas.openxmlformats.org/officeDocument/2006/relationships/hyperlink" Target="https://drive.google.com/uc?export=view&amp;id=1CLN7Gtwtxai8AJ2mftHeLqvFz96Haztd" TargetMode="External"/><Relationship Id="rId1667" Type="http://schemas.openxmlformats.org/officeDocument/2006/relationships/hyperlink" Target="https://drive.google.com/file/d/1FrzCSDuIPg5mh7dT4Eb3k6FK1TyBDKMg/view?usp=drivesdk" TargetMode="External"/><Relationship Id="rId1668" Type="http://schemas.openxmlformats.org/officeDocument/2006/relationships/hyperlink" Target="https://drive.google.com/uc?export=view&amp;id=1FrzCSDuIPg5mh7dT4Eb3k6FK1TyBDKMg" TargetMode="External"/><Relationship Id="rId1669" Type="http://schemas.openxmlformats.org/officeDocument/2006/relationships/hyperlink" Target="https://drive.google.com/file/d/17_SSbyCdDVEKrdD-NDrXuL001XoHU1Db/view?usp=drivesdk" TargetMode="External"/><Relationship Id="rId839" Type="http://schemas.openxmlformats.org/officeDocument/2006/relationships/hyperlink" Target="https://drive.google.com/file/d/1U-ET8Nz2lfMUv1-ivWRSyZHCfObR3thU/view?usp=drivesdk" TargetMode="External"/><Relationship Id="rId838" Type="http://schemas.openxmlformats.org/officeDocument/2006/relationships/hyperlink" Target="https://drive.google.com/uc?export=view&amp;id=1EgwgjxNQapdogQApJlRtyYGAq85jUkch" TargetMode="External"/><Relationship Id="rId833" Type="http://schemas.openxmlformats.org/officeDocument/2006/relationships/hyperlink" Target="https://drive.google.com/file/d/1nsASTedU9qIlRnk17tSl6FCf75WzEtaJ/view?usp=drivesdk" TargetMode="External"/><Relationship Id="rId832" Type="http://schemas.openxmlformats.org/officeDocument/2006/relationships/hyperlink" Target="https://drive.google.com/uc?export=view&amp;id=1025oaDBNJTWj_E-SN1xsP-R6Y6g2FVzo" TargetMode="External"/><Relationship Id="rId831" Type="http://schemas.openxmlformats.org/officeDocument/2006/relationships/hyperlink" Target="https://drive.google.com/file/d/1025oaDBNJTWj_E-SN1xsP-R6Y6g2FVzo/view?usp=drivesdk" TargetMode="External"/><Relationship Id="rId830" Type="http://schemas.openxmlformats.org/officeDocument/2006/relationships/hyperlink" Target="https://drive.google.com/uc?export=view&amp;id=1Y-Is5m3cOCOjjmuE4b68ioe8QuQVsvFu" TargetMode="External"/><Relationship Id="rId837" Type="http://schemas.openxmlformats.org/officeDocument/2006/relationships/hyperlink" Target="https://drive.google.com/file/d/1EgwgjxNQapdogQApJlRtyYGAq85jUkch/view?usp=drivesdk" TargetMode="External"/><Relationship Id="rId836" Type="http://schemas.openxmlformats.org/officeDocument/2006/relationships/hyperlink" Target="https://drive.google.com/uc?export=view&amp;id=1qJ0F2oTsjQlyCcxMcGKVZt4ChI73g1zU" TargetMode="External"/><Relationship Id="rId835" Type="http://schemas.openxmlformats.org/officeDocument/2006/relationships/hyperlink" Target="https://drive.google.com/file/d/1qJ0F2oTsjQlyCcxMcGKVZt4ChI73g1zU/view?usp=drivesdk" TargetMode="External"/><Relationship Id="rId834" Type="http://schemas.openxmlformats.org/officeDocument/2006/relationships/hyperlink" Target="https://drive.google.com/uc?export=view&amp;id=1nsASTedU9qIlRnk17tSl6FCf75WzEtaJ" TargetMode="External"/><Relationship Id="rId1660" Type="http://schemas.openxmlformats.org/officeDocument/2006/relationships/hyperlink" Target="https://drive.google.com/uc?export=view&amp;id=1BOwrHhGnAvtfDCickEU800Tc1pzFcylo" TargetMode="External"/><Relationship Id="rId1661" Type="http://schemas.openxmlformats.org/officeDocument/2006/relationships/hyperlink" Target="https://drive.google.com/file/d/1J6uXzluAM-0R9lbtQmcnC8uNugF6EtTh/view?usp=drivesdk" TargetMode="External"/><Relationship Id="rId1662" Type="http://schemas.openxmlformats.org/officeDocument/2006/relationships/hyperlink" Target="https://drive.google.com/uc?export=view&amp;id=1J6uXzluAM-0R9lbtQmcnC8uNugF6EtTh" TargetMode="External"/><Relationship Id="rId1663" Type="http://schemas.openxmlformats.org/officeDocument/2006/relationships/hyperlink" Target="https://drive.google.com/file/d/1ydiAYx5Jjz1JGWiInikgJHS7rAOsu9nI/view?usp=drivesdk" TargetMode="External"/><Relationship Id="rId469" Type="http://schemas.openxmlformats.org/officeDocument/2006/relationships/hyperlink" Target="https://drive.google.com/file/d/1_VUUrJKa4DDPR_z-NsIDLrTG5y-cGvkB/view?usp=drivesdk" TargetMode="External"/><Relationship Id="rId468" Type="http://schemas.openxmlformats.org/officeDocument/2006/relationships/hyperlink" Target="https://drive.google.com/uc?export=view&amp;id=1e-WmVeqVEnSvRcx3lYtIVC7oDebNxkk1" TargetMode="External"/><Relationship Id="rId467" Type="http://schemas.openxmlformats.org/officeDocument/2006/relationships/hyperlink" Target="https://drive.google.com/file/d/1e-WmVeqVEnSvRcx3lYtIVC7oDebNxkk1/view?usp=drivesdk" TargetMode="External"/><Relationship Id="rId1290" Type="http://schemas.openxmlformats.org/officeDocument/2006/relationships/hyperlink" Target="https://drive.google.com/uc?export=view&amp;id=1fanneYEVoEbirRjgkvc5ZPUN-EYPzAUX" TargetMode="External"/><Relationship Id="rId1291" Type="http://schemas.openxmlformats.org/officeDocument/2006/relationships/hyperlink" Target="https://drive.google.com/file/d/1vmYu2QObCGx24UQtZ_FfnBtUAK3_Pc4w/view?usp=drivesdk" TargetMode="External"/><Relationship Id="rId1292" Type="http://schemas.openxmlformats.org/officeDocument/2006/relationships/hyperlink" Target="https://drive.google.com/uc?export=view&amp;id=1vmYu2QObCGx24UQtZ_FfnBtUAK3_Pc4w" TargetMode="External"/><Relationship Id="rId462" Type="http://schemas.openxmlformats.org/officeDocument/2006/relationships/hyperlink" Target="https://drive.google.com/uc?export=view&amp;id=1QXBgQANrw1a_hHMO0CgfQVm3o6wfUGfY" TargetMode="External"/><Relationship Id="rId1293" Type="http://schemas.openxmlformats.org/officeDocument/2006/relationships/hyperlink" Target="https://drive.google.com/file/d/1orzt00zuI83sjf47yIL49rJKKRhdV3zG/view?usp=drivesdk" TargetMode="External"/><Relationship Id="rId461" Type="http://schemas.openxmlformats.org/officeDocument/2006/relationships/hyperlink" Target="https://drive.google.com/file/d/1QXBgQANrw1a_hHMO0CgfQVm3o6wfUGfY/view?usp=drivesdk" TargetMode="External"/><Relationship Id="rId1294" Type="http://schemas.openxmlformats.org/officeDocument/2006/relationships/hyperlink" Target="https://drive.google.com/uc?export=view&amp;id=1orzt00zuI83sjf47yIL49rJKKRhdV3zG" TargetMode="External"/><Relationship Id="rId460" Type="http://schemas.openxmlformats.org/officeDocument/2006/relationships/hyperlink" Target="https://drive.google.com/uc?export=view&amp;id=1fCfqw0sW3g3wOS3zfvaiq0pNdF2BqcKZ" TargetMode="External"/><Relationship Id="rId1295" Type="http://schemas.openxmlformats.org/officeDocument/2006/relationships/hyperlink" Target="https://drive.google.com/file/d/1bogOFHuDiPs9aBB_vDRGs1994B19RCEY/view?usp=drivesdk" TargetMode="External"/><Relationship Id="rId1296" Type="http://schemas.openxmlformats.org/officeDocument/2006/relationships/hyperlink" Target="https://drive.google.com/uc?export=view&amp;id=1bogOFHuDiPs9aBB_vDRGs1994B19RCEY" TargetMode="External"/><Relationship Id="rId466" Type="http://schemas.openxmlformats.org/officeDocument/2006/relationships/hyperlink" Target="https://drive.google.com/uc?export=view&amp;id=1LPhOX0kdbeb8cEVFsUnApzZj9HacXAYr" TargetMode="External"/><Relationship Id="rId1297" Type="http://schemas.openxmlformats.org/officeDocument/2006/relationships/hyperlink" Target="https://drive.google.com/file/d/1jalfWz-ppxDEQhdb8OJW-Ny40L7gIVVz/view?usp=drivesdk" TargetMode="External"/><Relationship Id="rId465" Type="http://schemas.openxmlformats.org/officeDocument/2006/relationships/hyperlink" Target="https://drive.google.com/file/d/1LPhOX0kdbeb8cEVFsUnApzZj9HacXAYr/view?usp=drivesdk" TargetMode="External"/><Relationship Id="rId1298" Type="http://schemas.openxmlformats.org/officeDocument/2006/relationships/hyperlink" Target="https://drive.google.com/uc?export=view&amp;id=1jalfWz-ppxDEQhdb8OJW-Ny40L7gIVVz" TargetMode="External"/><Relationship Id="rId464" Type="http://schemas.openxmlformats.org/officeDocument/2006/relationships/hyperlink" Target="https://drive.google.com/uc?export=view&amp;id=163iLfRnLjoiYiNE68W-NA0AgdL1Umr3B" TargetMode="External"/><Relationship Id="rId1299" Type="http://schemas.openxmlformats.org/officeDocument/2006/relationships/hyperlink" Target="https://drive.google.com/file/d/1-tSYq_YpD-az34WStI7ieqs5LdO0fr7d/view?usp=drivesdk" TargetMode="External"/><Relationship Id="rId463" Type="http://schemas.openxmlformats.org/officeDocument/2006/relationships/hyperlink" Target="https://drive.google.com/file/d/163iLfRnLjoiYiNE68W-NA0AgdL1Umr3B/view?usp=drivesdk" TargetMode="External"/><Relationship Id="rId459" Type="http://schemas.openxmlformats.org/officeDocument/2006/relationships/hyperlink" Target="https://drive.google.com/file/d/1fCfqw0sW3g3wOS3zfvaiq0pNdF2BqcKZ/view?usp=drivesdk" TargetMode="External"/><Relationship Id="rId458" Type="http://schemas.openxmlformats.org/officeDocument/2006/relationships/hyperlink" Target="https://drive.google.com/uc?export=view&amp;id=1CWbwn3wSUQ9kn_wgNWU9Bbc5rLMhsZP1" TargetMode="External"/><Relationship Id="rId457" Type="http://schemas.openxmlformats.org/officeDocument/2006/relationships/hyperlink" Target="https://drive.google.com/file/d/1CWbwn3wSUQ9kn_wgNWU9Bbc5rLMhsZP1/view?usp=drivesdk" TargetMode="External"/><Relationship Id="rId456" Type="http://schemas.openxmlformats.org/officeDocument/2006/relationships/hyperlink" Target="https://drive.google.com/uc?export=view&amp;id=1R_azGAYsIpWHv_ZgKG3T2RfOMxFjK6mf" TargetMode="External"/><Relationship Id="rId1280" Type="http://schemas.openxmlformats.org/officeDocument/2006/relationships/hyperlink" Target="https://drive.google.com/uc?export=view&amp;id=1qEfMGWOyLP_gFF2pnJVPATqxQX_J8Ln2" TargetMode="External"/><Relationship Id="rId1281" Type="http://schemas.openxmlformats.org/officeDocument/2006/relationships/hyperlink" Target="https://drive.google.com/file/d/1m6u108JoO4vB5fuhb__O5mCAxtq-9l5F/view?usp=drivesdk" TargetMode="External"/><Relationship Id="rId451" Type="http://schemas.openxmlformats.org/officeDocument/2006/relationships/hyperlink" Target="https://drive.google.com/file/d/1qP70qMN0xuEEOzsAE2wRnxP30tvGs-EV/view?usp=drivesdk" TargetMode="External"/><Relationship Id="rId1282" Type="http://schemas.openxmlformats.org/officeDocument/2006/relationships/hyperlink" Target="https://drive.google.com/uc?export=view&amp;id=1m6u108JoO4vB5fuhb__O5mCAxtq-9l5F" TargetMode="External"/><Relationship Id="rId450" Type="http://schemas.openxmlformats.org/officeDocument/2006/relationships/hyperlink" Target="https://drive.google.com/uc?export=view&amp;id=19joZurJEZPdGzT-p3PUSlHtDwFUolzzY" TargetMode="External"/><Relationship Id="rId1283" Type="http://schemas.openxmlformats.org/officeDocument/2006/relationships/hyperlink" Target="https://drive.google.com/file/d/1LULx-MsWrnGJxtVkYeoruBZ9TJQekjBF/view?usp=drivesdk" TargetMode="External"/><Relationship Id="rId1284" Type="http://schemas.openxmlformats.org/officeDocument/2006/relationships/hyperlink" Target="https://drive.google.com/uc?export=view&amp;id=1LULx-MsWrnGJxtVkYeoruBZ9TJQekjBF" TargetMode="External"/><Relationship Id="rId1285" Type="http://schemas.openxmlformats.org/officeDocument/2006/relationships/hyperlink" Target="https://drive.google.com/file/d/1GZ5KOWIlLk25QnwLqI7-788BLUMV4RTJ/view?usp=drivesdk" TargetMode="External"/><Relationship Id="rId455" Type="http://schemas.openxmlformats.org/officeDocument/2006/relationships/hyperlink" Target="https://drive.google.com/file/d/1R_azGAYsIpWHv_ZgKG3T2RfOMxFjK6mf/view?usp=drivesdk" TargetMode="External"/><Relationship Id="rId1286" Type="http://schemas.openxmlformats.org/officeDocument/2006/relationships/hyperlink" Target="https://drive.google.com/uc?export=view&amp;id=1GZ5KOWIlLk25QnwLqI7-788BLUMV4RTJ" TargetMode="External"/><Relationship Id="rId454" Type="http://schemas.openxmlformats.org/officeDocument/2006/relationships/hyperlink" Target="https://drive.google.com/uc?export=view&amp;id=1Cun5zu9DPD98aLjMNu909oTYSc1R47Vx" TargetMode="External"/><Relationship Id="rId1287" Type="http://schemas.openxmlformats.org/officeDocument/2006/relationships/hyperlink" Target="https://drive.google.com/file/d/14v7AeZygjuXrQC22iB6PtaoNQ0RB4nFr/view?usp=drivesdk" TargetMode="External"/><Relationship Id="rId453" Type="http://schemas.openxmlformats.org/officeDocument/2006/relationships/hyperlink" Target="https://drive.google.com/file/d/1Cun5zu9DPD98aLjMNu909oTYSc1R47Vx/view?usp=drivesdk" TargetMode="External"/><Relationship Id="rId1288" Type="http://schemas.openxmlformats.org/officeDocument/2006/relationships/hyperlink" Target="https://drive.google.com/uc?export=view&amp;id=14v7AeZygjuXrQC22iB6PtaoNQ0RB4nFr" TargetMode="External"/><Relationship Id="rId452" Type="http://schemas.openxmlformats.org/officeDocument/2006/relationships/hyperlink" Target="https://drive.google.com/uc?export=view&amp;id=1qP70qMN0xuEEOzsAE2wRnxP30tvGs-EV" TargetMode="External"/><Relationship Id="rId1289" Type="http://schemas.openxmlformats.org/officeDocument/2006/relationships/hyperlink" Target="https://drive.google.com/file/d/1fanneYEVoEbirRjgkvc5ZPUN-EYPzAUX/view?usp=drivesdk" TargetMode="External"/><Relationship Id="rId491" Type="http://schemas.openxmlformats.org/officeDocument/2006/relationships/hyperlink" Target="https://drive.google.com/file/d/1vQOZLMJR7fpWSKh24zz5k4j5sP0kMPaL/view?usp=drivesdk" TargetMode="External"/><Relationship Id="rId490" Type="http://schemas.openxmlformats.org/officeDocument/2006/relationships/hyperlink" Target="https://drive.google.com/uc?export=view&amp;id=1y26_ltJuTSP9WW3DJwHEXAYpTRPcngmh" TargetMode="External"/><Relationship Id="rId489" Type="http://schemas.openxmlformats.org/officeDocument/2006/relationships/hyperlink" Target="https://drive.google.com/file/d/1y26_ltJuTSP9WW3DJwHEXAYpTRPcngmh/view?usp=drivesdk" TargetMode="External"/><Relationship Id="rId484" Type="http://schemas.openxmlformats.org/officeDocument/2006/relationships/hyperlink" Target="https://drive.google.com/uc?export=view&amp;id=1eSKBDsswafiwJ5j26o1OoGPVviqOtDU-" TargetMode="External"/><Relationship Id="rId483" Type="http://schemas.openxmlformats.org/officeDocument/2006/relationships/hyperlink" Target="https://drive.google.com/file/d/1eSKBDsswafiwJ5j26o1OoGPVviqOtDU-/view?usp=drivesdk" TargetMode="External"/><Relationship Id="rId482" Type="http://schemas.openxmlformats.org/officeDocument/2006/relationships/hyperlink" Target="https://drive.google.com/uc?export=view&amp;id=1LB2Qha3zs6HyPLnEz_ijr_ZQmymq8hpB" TargetMode="External"/><Relationship Id="rId481" Type="http://schemas.openxmlformats.org/officeDocument/2006/relationships/hyperlink" Target="https://drive.google.com/file/d/1LB2Qha3zs6HyPLnEz_ijr_ZQmymq8hpB/view?usp=drivesdk" TargetMode="External"/><Relationship Id="rId488" Type="http://schemas.openxmlformats.org/officeDocument/2006/relationships/hyperlink" Target="https://drive.google.com/uc?export=view&amp;id=14dDp2W9HaAXML4H736MQBMKVeE1WUX9f" TargetMode="External"/><Relationship Id="rId487" Type="http://schemas.openxmlformats.org/officeDocument/2006/relationships/hyperlink" Target="https://drive.google.com/file/d/14dDp2W9HaAXML4H736MQBMKVeE1WUX9f/view?usp=drivesdk" TargetMode="External"/><Relationship Id="rId486" Type="http://schemas.openxmlformats.org/officeDocument/2006/relationships/hyperlink" Target="https://drive.google.com/uc?export=view&amp;id=1qXtjtqv98djx3gSjgq2iptK2a8iptVR0" TargetMode="External"/><Relationship Id="rId485" Type="http://schemas.openxmlformats.org/officeDocument/2006/relationships/hyperlink" Target="https://drive.google.com/file/d/1qXtjtqv98djx3gSjgq2iptK2a8iptVR0/view?usp=drivesdk" TargetMode="External"/><Relationship Id="rId480" Type="http://schemas.openxmlformats.org/officeDocument/2006/relationships/hyperlink" Target="https://drive.google.com/uc?export=view&amp;id=1XRh-D5QdKzzIFPvzXoQbst5Rvl54X5yr" TargetMode="External"/><Relationship Id="rId479" Type="http://schemas.openxmlformats.org/officeDocument/2006/relationships/hyperlink" Target="https://drive.google.com/file/d/1XRh-D5QdKzzIFPvzXoQbst5Rvl54X5yr/view?usp=drivesdk" TargetMode="External"/><Relationship Id="rId478" Type="http://schemas.openxmlformats.org/officeDocument/2006/relationships/hyperlink" Target="https://drive.google.com/uc?export=view&amp;id=15X4wsw_SZuoiuZPpNJ6WD4fq9EQXud6l" TargetMode="External"/><Relationship Id="rId473" Type="http://schemas.openxmlformats.org/officeDocument/2006/relationships/hyperlink" Target="https://drive.google.com/file/d/1q85RJVEnDZPClI9E93FKybnJt5-1_eMB/view?usp=drivesdk" TargetMode="External"/><Relationship Id="rId472" Type="http://schemas.openxmlformats.org/officeDocument/2006/relationships/hyperlink" Target="https://drive.google.com/uc?export=view&amp;id=1Ei2jR8agIyxsYGCYBX0PPL3ebj9K3HFr" TargetMode="External"/><Relationship Id="rId471" Type="http://schemas.openxmlformats.org/officeDocument/2006/relationships/hyperlink" Target="https://drive.google.com/file/d/1Ei2jR8agIyxsYGCYBX0PPL3ebj9K3HFr/view?usp=drivesdk" TargetMode="External"/><Relationship Id="rId470" Type="http://schemas.openxmlformats.org/officeDocument/2006/relationships/hyperlink" Target="https://drive.google.com/uc?export=view&amp;id=1_VUUrJKa4DDPR_z-NsIDLrTG5y-cGvkB" TargetMode="External"/><Relationship Id="rId477" Type="http://schemas.openxmlformats.org/officeDocument/2006/relationships/hyperlink" Target="https://drive.google.com/file/d/15X4wsw_SZuoiuZPpNJ6WD4fq9EQXud6l/view?usp=drivesdk" TargetMode="External"/><Relationship Id="rId476" Type="http://schemas.openxmlformats.org/officeDocument/2006/relationships/hyperlink" Target="https://drive.google.com/uc?export=view&amp;id=1R4augrOaGl6kqLt0jjTIb38D2_RTyH-_" TargetMode="External"/><Relationship Id="rId475" Type="http://schemas.openxmlformats.org/officeDocument/2006/relationships/hyperlink" Target="https://drive.google.com/file/d/1R4augrOaGl6kqLt0jjTIb38D2_RTyH-_/view?usp=drivesdk" TargetMode="External"/><Relationship Id="rId474" Type="http://schemas.openxmlformats.org/officeDocument/2006/relationships/hyperlink" Target="https://drive.google.com/uc?export=view&amp;id=1q85RJVEnDZPClI9E93FKybnJt5-1_eMB" TargetMode="External"/><Relationship Id="rId1257" Type="http://schemas.openxmlformats.org/officeDocument/2006/relationships/hyperlink" Target="https://drive.google.com/file/d/1-Bxc8u1ZDjMGzQbX-agYRpgkGdixy1p1/view?usp=drivesdk" TargetMode="External"/><Relationship Id="rId1258" Type="http://schemas.openxmlformats.org/officeDocument/2006/relationships/hyperlink" Target="https://drive.google.com/uc?export=view&amp;id=1-Bxc8u1ZDjMGzQbX-agYRpgkGdixy1p1" TargetMode="External"/><Relationship Id="rId1259" Type="http://schemas.openxmlformats.org/officeDocument/2006/relationships/hyperlink" Target="https://drive.google.com/file/d/1uTTQ2LS4oyKU8mwg7p_GkG0ED3QgeYlD/view?usp=drivesdk" TargetMode="External"/><Relationship Id="rId426" Type="http://schemas.openxmlformats.org/officeDocument/2006/relationships/hyperlink" Target="https://drive.google.com/uc?export=view&amp;id=11cE7AVdTsG2fOr_tvy513rcj5kUNsxw_" TargetMode="External"/><Relationship Id="rId425" Type="http://schemas.openxmlformats.org/officeDocument/2006/relationships/hyperlink" Target="https://drive.google.com/file/d/11cE7AVdTsG2fOr_tvy513rcj5kUNsxw_/view?usp=drivesdk" TargetMode="External"/><Relationship Id="rId424" Type="http://schemas.openxmlformats.org/officeDocument/2006/relationships/hyperlink" Target="https://drive.google.com/uc?export=view&amp;id=1Rm9EJi7VAY3rR7n6blHsxU91ffxf1ACL" TargetMode="External"/><Relationship Id="rId423" Type="http://schemas.openxmlformats.org/officeDocument/2006/relationships/hyperlink" Target="https://drive.google.com/file/d/1Rm9EJi7VAY3rR7n6blHsxU91ffxf1ACL/view?usp=drivesdk" TargetMode="External"/><Relationship Id="rId429" Type="http://schemas.openxmlformats.org/officeDocument/2006/relationships/hyperlink" Target="https://drive.google.com/file/d/12MyTrQTZh7wHH51lx-BtMryP6RKC1H6n/view?usp=drivesdk" TargetMode="External"/><Relationship Id="rId428" Type="http://schemas.openxmlformats.org/officeDocument/2006/relationships/hyperlink" Target="https://drive.google.com/uc?export=view&amp;id=1-lD0RrJ3u4eWihM01mRWB0aD21pf8Fba" TargetMode="External"/><Relationship Id="rId427" Type="http://schemas.openxmlformats.org/officeDocument/2006/relationships/hyperlink" Target="https://drive.google.com/file/d/1-lD0RrJ3u4eWihM01mRWB0aD21pf8Fba/view?usp=drivesdk" TargetMode="External"/><Relationship Id="rId1250" Type="http://schemas.openxmlformats.org/officeDocument/2006/relationships/hyperlink" Target="https://drive.google.com/uc?export=view&amp;id=1Gtx9Mi9X8B1UiP1wuw4ymXCVVM2ev_xv" TargetMode="External"/><Relationship Id="rId1251" Type="http://schemas.openxmlformats.org/officeDocument/2006/relationships/hyperlink" Target="https://drive.google.com/file/d/1myTDcKkHuM-xMyxm0P-A2odSDmqUuZbU/view?usp=drivesdk" TargetMode="External"/><Relationship Id="rId1252" Type="http://schemas.openxmlformats.org/officeDocument/2006/relationships/hyperlink" Target="https://drive.google.com/uc?export=view&amp;id=1myTDcKkHuM-xMyxm0P-A2odSDmqUuZbU" TargetMode="External"/><Relationship Id="rId422" Type="http://schemas.openxmlformats.org/officeDocument/2006/relationships/hyperlink" Target="https://drive.google.com/uc?export=view&amp;id=1HnSUxthHf7rRu7QPdSGgP7NAiiyZw9vL" TargetMode="External"/><Relationship Id="rId1253" Type="http://schemas.openxmlformats.org/officeDocument/2006/relationships/hyperlink" Target="https://drive.google.com/file/d/1etpqvT3iF0s6y2PBFN18rA0rzfprVkit/view?usp=drivesdk" TargetMode="External"/><Relationship Id="rId421" Type="http://schemas.openxmlformats.org/officeDocument/2006/relationships/hyperlink" Target="https://drive.google.com/file/d/1HnSUxthHf7rRu7QPdSGgP7NAiiyZw9vL/view?usp=drivesdk" TargetMode="External"/><Relationship Id="rId1254" Type="http://schemas.openxmlformats.org/officeDocument/2006/relationships/hyperlink" Target="https://drive.google.com/uc?export=view&amp;id=1etpqvT3iF0s6y2PBFN18rA0rzfprVkit" TargetMode="External"/><Relationship Id="rId420" Type="http://schemas.openxmlformats.org/officeDocument/2006/relationships/hyperlink" Target="https://drive.google.com/uc?export=view&amp;id=1ZItvkmFv5qd9COLnpVFjkrxHEw-OOW8S" TargetMode="External"/><Relationship Id="rId1255" Type="http://schemas.openxmlformats.org/officeDocument/2006/relationships/hyperlink" Target="https://drive.google.com/file/d/1h2JD1nT3xljnloNmXlRzMvmFMab61B3W/view?usp=drivesdk" TargetMode="External"/><Relationship Id="rId1256" Type="http://schemas.openxmlformats.org/officeDocument/2006/relationships/hyperlink" Target="https://drive.google.com/uc?export=view&amp;id=1h2JD1nT3xljnloNmXlRzMvmFMab61B3W" TargetMode="External"/><Relationship Id="rId1246" Type="http://schemas.openxmlformats.org/officeDocument/2006/relationships/hyperlink" Target="https://drive.google.com/uc?export=view&amp;id=1Abfk1HWs0gXL6E-CFJuIJW4m7qRUQADc" TargetMode="External"/><Relationship Id="rId1247" Type="http://schemas.openxmlformats.org/officeDocument/2006/relationships/hyperlink" Target="https://drive.google.com/file/d/1hmolJMpGuxF9mCicU-SUxPoGI2wOtfQ5/view?usp=drivesdk" TargetMode="External"/><Relationship Id="rId1248" Type="http://schemas.openxmlformats.org/officeDocument/2006/relationships/hyperlink" Target="https://drive.google.com/uc?export=view&amp;id=1hmolJMpGuxF9mCicU-SUxPoGI2wOtfQ5" TargetMode="External"/><Relationship Id="rId1249" Type="http://schemas.openxmlformats.org/officeDocument/2006/relationships/hyperlink" Target="https://drive.google.com/file/d/1Gtx9Mi9X8B1UiP1wuw4ymXCVVM2ev_xv/view?usp=drivesdk" TargetMode="External"/><Relationship Id="rId415" Type="http://schemas.openxmlformats.org/officeDocument/2006/relationships/hyperlink" Target="https://drive.google.com/file/d/1UQTNFGSVH3ycSJb627Xm9KvhPjl9IFGq/view?usp=drivesdk" TargetMode="External"/><Relationship Id="rId899" Type="http://schemas.openxmlformats.org/officeDocument/2006/relationships/hyperlink" Target="https://drive.google.com/file/d/1zc-R-FrC2P4JGBl6egEzahfptssoMjRL/view?usp=drivesdk" TargetMode="External"/><Relationship Id="rId414" Type="http://schemas.openxmlformats.org/officeDocument/2006/relationships/hyperlink" Target="https://drive.google.com/uc?export=view&amp;id=1S84YD6lkVfMAOI12SHpW_rYLu2OPx3aD" TargetMode="External"/><Relationship Id="rId898" Type="http://schemas.openxmlformats.org/officeDocument/2006/relationships/hyperlink" Target="https://drive.google.com/uc?export=view&amp;id=1CbUd22kmCsjgL2ThqwgVgMKYiMzxoexd" TargetMode="External"/><Relationship Id="rId413" Type="http://schemas.openxmlformats.org/officeDocument/2006/relationships/hyperlink" Target="https://drive.google.com/file/d/1S84YD6lkVfMAOI12SHpW_rYLu2OPx3aD/view?usp=drivesdk" TargetMode="External"/><Relationship Id="rId897" Type="http://schemas.openxmlformats.org/officeDocument/2006/relationships/hyperlink" Target="https://drive.google.com/file/d/1CbUd22kmCsjgL2ThqwgVgMKYiMzxoexd/view?usp=drivesdk" TargetMode="External"/><Relationship Id="rId412" Type="http://schemas.openxmlformats.org/officeDocument/2006/relationships/hyperlink" Target="https://drive.google.com/uc?export=view&amp;id=1gb106yRr9pNvoBduoIl1F6o_fuhBIUtM" TargetMode="External"/><Relationship Id="rId896" Type="http://schemas.openxmlformats.org/officeDocument/2006/relationships/hyperlink" Target="https://drive.google.com/uc?export=view&amp;id=1QvdlXIW1CReRyJbTzudzGp3eIwuUdh3Q" TargetMode="External"/><Relationship Id="rId419" Type="http://schemas.openxmlformats.org/officeDocument/2006/relationships/hyperlink" Target="https://drive.google.com/file/d/1ZItvkmFv5qd9COLnpVFjkrxHEw-OOW8S/view?usp=drivesdk" TargetMode="External"/><Relationship Id="rId418" Type="http://schemas.openxmlformats.org/officeDocument/2006/relationships/hyperlink" Target="https://drive.google.com/uc?export=view&amp;id=1HnQ_Av5HcJMh-GXYDKjg9S_W7adp93sE" TargetMode="External"/><Relationship Id="rId417" Type="http://schemas.openxmlformats.org/officeDocument/2006/relationships/hyperlink" Target="https://drive.google.com/file/d/1HnQ_Av5HcJMh-GXYDKjg9S_W7adp93sE/view?usp=drivesdk" TargetMode="External"/><Relationship Id="rId416" Type="http://schemas.openxmlformats.org/officeDocument/2006/relationships/hyperlink" Target="https://drive.google.com/uc?export=view&amp;id=1UQTNFGSVH3ycSJb627Xm9KvhPjl9IFGq" TargetMode="External"/><Relationship Id="rId891" Type="http://schemas.openxmlformats.org/officeDocument/2006/relationships/hyperlink" Target="https://drive.google.com/file/d/13MZUiU9QCVHy9RsjBb7HVG7hj6697sub/view?usp=drivesdk" TargetMode="External"/><Relationship Id="rId890" Type="http://schemas.openxmlformats.org/officeDocument/2006/relationships/hyperlink" Target="https://drive.google.com/uc?export=view&amp;id=1z4VS_JOIH8DXClHBVYH-iSN7aM2nS75i" TargetMode="External"/><Relationship Id="rId1240" Type="http://schemas.openxmlformats.org/officeDocument/2006/relationships/hyperlink" Target="https://drive.google.com/uc?export=view&amp;id=1fh7Elzo9aywvE6PY6vmIZAh6cLS27ttc" TargetMode="External"/><Relationship Id="rId1241" Type="http://schemas.openxmlformats.org/officeDocument/2006/relationships/hyperlink" Target="https://drive.google.com/file/d/1q52WP67f3xw1I-PfJQMa7BVK5I3cv6h3/view?usp=drivesdk" TargetMode="External"/><Relationship Id="rId411" Type="http://schemas.openxmlformats.org/officeDocument/2006/relationships/hyperlink" Target="https://drive.google.com/file/d/1gb106yRr9pNvoBduoIl1F6o_fuhBIUtM/view?usp=drivesdk" TargetMode="External"/><Relationship Id="rId895" Type="http://schemas.openxmlformats.org/officeDocument/2006/relationships/hyperlink" Target="https://drive.google.com/file/d/1QvdlXIW1CReRyJbTzudzGp3eIwuUdh3Q/view?usp=drivesdk" TargetMode="External"/><Relationship Id="rId1242" Type="http://schemas.openxmlformats.org/officeDocument/2006/relationships/hyperlink" Target="https://drive.google.com/uc?export=view&amp;id=1q52WP67f3xw1I-PfJQMa7BVK5I3cv6h3" TargetMode="External"/><Relationship Id="rId410" Type="http://schemas.openxmlformats.org/officeDocument/2006/relationships/hyperlink" Target="https://drive.google.com/uc?export=view&amp;id=1OaB0xOxAqEDwS2R1VVTx1FOE_YY1JdHP" TargetMode="External"/><Relationship Id="rId894" Type="http://schemas.openxmlformats.org/officeDocument/2006/relationships/hyperlink" Target="https://drive.google.com/uc?export=view&amp;id=1w7VfTt2MTnS7OxwMTVaK700fjO1uP4Sw" TargetMode="External"/><Relationship Id="rId1243" Type="http://schemas.openxmlformats.org/officeDocument/2006/relationships/hyperlink" Target="https://drive.google.com/file/d/1R7scThx-uDqh9bugz0sCgg2yX_ESt7x3/view?usp=drivesdk" TargetMode="External"/><Relationship Id="rId893" Type="http://schemas.openxmlformats.org/officeDocument/2006/relationships/hyperlink" Target="https://drive.google.com/file/d/1w7VfTt2MTnS7OxwMTVaK700fjO1uP4Sw/view?usp=drivesdk" TargetMode="External"/><Relationship Id="rId1244" Type="http://schemas.openxmlformats.org/officeDocument/2006/relationships/hyperlink" Target="https://drive.google.com/uc?export=view&amp;id=1R7scThx-uDqh9bugz0sCgg2yX_ESt7x3" TargetMode="External"/><Relationship Id="rId892" Type="http://schemas.openxmlformats.org/officeDocument/2006/relationships/hyperlink" Target="https://drive.google.com/uc?export=view&amp;id=13MZUiU9QCVHy9RsjBb7HVG7hj6697sub" TargetMode="External"/><Relationship Id="rId1245" Type="http://schemas.openxmlformats.org/officeDocument/2006/relationships/hyperlink" Target="https://drive.google.com/file/d/1Abfk1HWs0gXL6E-CFJuIJW4m7qRUQADc/view?usp=drivesdk" TargetMode="External"/><Relationship Id="rId1279" Type="http://schemas.openxmlformats.org/officeDocument/2006/relationships/hyperlink" Target="https://drive.google.com/file/d/1qEfMGWOyLP_gFF2pnJVPATqxQX_J8Ln2/view?usp=drivesdk" TargetMode="External"/><Relationship Id="rId448" Type="http://schemas.openxmlformats.org/officeDocument/2006/relationships/hyperlink" Target="https://drive.google.com/uc?export=view&amp;id=1uvUmR0lIumnhIW2tMHrxbGND5vzEeps0" TargetMode="External"/><Relationship Id="rId447" Type="http://schemas.openxmlformats.org/officeDocument/2006/relationships/hyperlink" Target="https://drive.google.com/file/d/1uvUmR0lIumnhIW2tMHrxbGND5vzEeps0/view?usp=drivesdk" TargetMode="External"/><Relationship Id="rId446" Type="http://schemas.openxmlformats.org/officeDocument/2006/relationships/hyperlink" Target="https://drive.google.com/uc?export=view&amp;id=1PocGD8n3O_2AYEckMA06EVdsnHXgPBLC" TargetMode="External"/><Relationship Id="rId445" Type="http://schemas.openxmlformats.org/officeDocument/2006/relationships/hyperlink" Target="https://drive.google.com/file/d/1PocGD8n3O_2AYEckMA06EVdsnHXgPBLC/view?usp=drivesdk" TargetMode="External"/><Relationship Id="rId449" Type="http://schemas.openxmlformats.org/officeDocument/2006/relationships/hyperlink" Target="https://drive.google.com/file/d/19joZurJEZPdGzT-p3PUSlHtDwFUolzzY/view?usp=drivesdk" TargetMode="External"/><Relationship Id="rId1270" Type="http://schemas.openxmlformats.org/officeDocument/2006/relationships/hyperlink" Target="https://drive.google.com/uc?export=view&amp;id=1EGaY1Zz0GRAv78CEOHI8AQEi_g4j-Uhy" TargetMode="External"/><Relationship Id="rId440" Type="http://schemas.openxmlformats.org/officeDocument/2006/relationships/hyperlink" Target="https://drive.google.com/uc?export=view&amp;id=1l8NFgvaElyYsgnRWpUkjVBR8agaFmDy6" TargetMode="External"/><Relationship Id="rId1271" Type="http://schemas.openxmlformats.org/officeDocument/2006/relationships/hyperlink" Target="https://drive.google.com/file/d/1VTMnFLB0CunTBYRho2dh4Lc8LlHuYylH/view?usp=drivesdk" TargetMode="External"/><Relationship Id="rId1272" Type="http://schemas.openxmlformats.org/officeDocument/2006/relationships/hyperlink" Target="https://drive.google.com/uc?export=view&amp;id=1VTMnFLB0CunTBYRho2dh4Lc8LlHuYylH" TargetMode="External"/><Relationship Id="rId1273" Type="http://schemas.openxmlformats.org/officeDocument/2006/relationships/hyperlink" Target="https://drive.google.com/file/d/1XSoDvU13C1XbWQR-4kv0vXu4HuvkPB6-/view?usp=drivesdk" TargetMode="External"/><Relationship Id="rId1274" Type="http://schemas.openxmlformats.org/officeDocument/2006/relationships/hyperlink" Target="https://drive.google.com/uc?export=view&amp;id=1XSoDvU13C1XbWQR-4kv0vXu4HuvkPB6-" TargetMode="External"/><Relationship Id="rId444" Type="http://schemas.openxmlformats.org/officeDocument/2006/relationships/hyperlink" Target="https://drive.google.com/uc?export=view&amp;id=1P3ouUf0SfnTuUc9My1Q6iLHm35S8ELky" TargetMode="External"/><Relationship Id="rId1275" Type="http://schemas.openxmlformats.org/officeDocument/2006/relationships/hyperlink" Target="https://drive.google.com/file/d/1NxqcdTr9-scWT5J0B6oYjJW5zxRRMaOV/view?usp=drivesdk" TargetMode="External"/><Relationship Id="rId443" Type="http://schemas.openxmlformats.org/officeDocument/2006/relationships/hyperlink" Target="https://drive.google.com/file/d/1P3ouUf0SfnTuUc9My1Q6iLHm35S8ELky/view?usp=drivesdk" TargetMode="External"/><Relationship Id="rId1276" Type="http://schemas.openxmlformats.org/officeDocument/2006/relationships/hyperlink" Target="https://drive.google.com/uc?export=view&amp;id=1NxqcdTr9-scWT5J0B6oYjJW5zxRRMaOV" TargetMode="External"/><Relationship Id="rId442" Type="http://schemas.openxmlformats.org/officeDocument/2006/relationships/hyperlink" Target="https://drive.google.com/uc?export=view&amp;id=1tU3HZHCjEPC4ZOxlRdisGcNykzGDvdoK" TargetMode="External"/><Relationship Id="rId1277" Type="http://schemas.openxmlformats.org/officeDocument/2006/relationships/hyperlink" Target="https://drive.google.com/file/d/1vM63klSSu8-PveRj3Vngg6eg8eQQTGIf/view?usp=drivesdk" TargetMode="External"/><Relationship Id="rId441" Type="http://schemas.openxmlformats.org/officeDocument/2006/relationships/hyperlink" Target="https://drive.google.com/file/d/1tU3HZHCjEPC4ZOxlRdisGcNykzGDvdoK/view?usp=drivesdk" TargetMode="External"/><Relationship Id="rId1278" Type="http://schemas.openxmlformats.org/officeDocument/2006/relationships/hyperlink" Target="https://drive.google.com/uc?export=view&amp;id=1vM63klSSu8-PveRj3Vngg6eg8eQQTGIf" TargetMode="External"/><Relationship Id="rId1268" Type="http://schemas.openxmlformats.org/officeDocument/2006/relationships/hyperlink" Target="https://drive.google.com/uc?export=view&amp;id=1REkh2xx5qc4q5OhkrwCVWhv1DvkFHlQz" TargetMode="External"/><Relationship Id="rId1269" Type="http://schemas.openxmlformats.org/officeDocument/2006/relationships/hyperlink" Target="https://drive.google.com/file/d/1EGaY1Zz0GRAv78CEOHI8AQEi_g4j-Uhy/view?usp=drivesdk" TargetMode="External"/><Relationship Id="rId437" Type="http://schemas.openxmlformats.org/officeDocument/2006/relationships/hyperlink" Target="https://drive.google.com/file/d/1G-crZURiCgDoC8srRqutAsEJvOxEWsY-/view?usp=drivesdk" TargetMode="External"/><Relationship Id="rId436" Type="http://schemas.openxmlformats.org/officeDocument/2006/relationships/hyperlink" Target="https://drive.google.com/uc?export=view&amp;id=1s4rsAJfcWxVfr8GEKv4D7CHTbmmQ3PA6" TargetMode="External"/><Relationship Id="rId435" Type="http://schemas.openxmlformats.org/officeDocument/2006/relationships/hyperlink" Target="https://drive.google.com/file/d/1s4rsAJfcWxVfr8GEKv4D7CHTbmmQ3PA6/view?usp=drivesdk" TargetMode="External"/><Relationship Id="rId434" Type="http://schemas.openxmlformats.org/officeDocument/2006/relationships/hyperlink" Target="https://drive.google.com/uc?export=view&amp;id=19cczZy8sD45wHyV3U9UUNnt0nQQmFblA" TargetMode="External"/><Relationship Id="rId439" Type="http://schemas.openxmlformats.org/officeDocument/2006/relationships/hyperlink" Target="https://drive.google.com/file/d/1l8NFgvaElyYsgnRWpUkjVBR8agaFmDy6/view?usp=drivesdk" TargetMode="External"/><Relationship Id="rId438" Type="http://schemas.openxmlformats.org/officeDocument/2006/relationships/hyperlink" Target="https://drive.google.com/uc?export=view&amp;id=1G-crZURiCgDoC8srRqutAsEJvOxEWsY-" TargetMode="External"/><Relationship Id="rId1260" Type="http://schemas.openxmlformats.org/officeDocument/2006/relationships/hyperlink" Target="https://drive.google.com/uc?export=view&amp;id=1uTTQ2LS4oyKU8mwg7p_GkG0ED3QgeYlD" TargetMode="External"/><Relationship Id="rId1261" Type="http://schemas.openxmlformats.org/officeDocument/2006/relationships/hyperlink" Target="https://drive.google.com/file/d/1n9He7Xs0wnDkkvkrCT9SGc99E4iXkYe5/view?usp=drivesdk" TargetMode="External"/><Relationship Id="rId1262" Type="http://schemas.openxmlformats.org/officeDocument/2006/relationships/hyperlink" Target="https://drive.google.com/uc?export=view&amp;id=1n9He7Xs0wnDkkvkrCT9SGc99E4iXkYe5" TargetMode="External"/><Relationship Id="rId1263" Type="http://schemas.openxmlformats.org/officeDocument/2006/relationships/hyperlink" Target="https://drive.google.com/file/d/1vXcrjcN0OFnKpu-pAVAdYuVB_w4HDxEv/view?usp=drivesdk" TargetMode="External"/><Relationship Id="rId433" Type="http://schemas.openxmlformats.org/officeDocument/2006/relationships/hyperlink" Target="https://drive.google.com/file/d/19cczZy8sD45wHyV3U9UUNnt0nQQmFblA/view?usp=drivesdk" TargetMode="External"/><Relationship Id="rId1264" Type="http://schemas.openxmlformats.org/officeDocument/2006/relationships/hyperlink" Target="https://drive.google.com/uc?export=view&amp;id=1vXcrjcN0OFnKpu-pAVAdYuVB_w4HDxEv" TargetMode="External"/><Relationship Id="rId432" Type="http://schemas.openxmlformats.org/officeDocument/2006/relationships/hyperlink" Target="https://drive.google.com/uc?export=view&amp;id=18zGY-tL7ayJoYMJMhjJEg_CXMBCm2lD5" TargetMode="External"/><Relationship Id="rId1265" Type="http://schemas.openxmlformats.org/officeDocument/2006/relationships/hyperlink" Target="https://drive.google.com/file/d/1wF-yjxQaXmE0a6dph_JneuWMN0GlOwie/view?usp=drivesdk" TargetMode="External"/><Relationship Id="rId431" Type="http://schemas.openxmlformats.org/officeDocument/2006/relationships/hyperlink" Target="https://drive.google.com/file/d/18zGY-tL7ayJoYMJMhjJEg_CXMBCm2lD5/view?usp=drivesdk" TargetMode="External"/><Relationship Id="rId1266" Type="http://schemas.openxmlformats.org/officeDocument/2006/relationships/hyperlink" Target="https://drive.google.com/uc?export=view&amp;id=1wF-yjxQaXmE0a6dph_JneuWMN0GlOwie" TargetMode="External"/><Relationship Id="rId430" Type="http://schemas.openxmlformats.org/officeDocument/2006/relationships/hyperlink" Target="https://drive.google.com/uc?export=view&amp;id=12MyTrQTZh7wHH51lx-BtMryP6RKC1H6n" TargetMode="External"/><Relationship Id="rId1267" Type="http://schemas.openxmlformats.org/officeDocument/2006/relationships/hyperlink" Target="https://drive.google.com/file/d/1REkh2xx5qc4q5OhkrwCVWhv1DvkFHlQz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Wagl1697/arkanor-assets/main/Arma%20personal.png" TargetMode="External"/><Relationship Id="rId2" Type="http://schemas.openxmlformats.org/officeDocument/2006/relationships/hyperlink" Target="https://raw.githubusercontent.com/Wagl1697/arkanor-assets/main/Ataque%20adicional%20(Explorador).png" TargetMode="External"/><Relationship Id="rId3" Type="http://schemas.openxmlformats.org/officeDocument/2006/relationships/hyperlink" Target="https://raw.githubusercontent.com/Wagl1697/arkanor-assets/main/Cazador%20especializado.png" TargetMode="External"/><Relationship Id="rId4" Type="http://schemas.openxmlformats.org/officeDocument/2006/relationships/hyperlink" Target="https://raw.githubusercontent.com/Wagl1697/arkanor-assets/main/Ca%C3%ADda%20lenta.png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raw.githubusercontent.com/Wagl1697/arkanor-assets/main/Combate%20desarmado.png" TargetMode="External"/><Relationship Id="rId6" Type="http://schemas.openxmlformats.org/officeDocument/2006/relationships/hyperlink" Target="https://raw.githubusercontent.com/Wagl1697/arkanor-assets/main/Defensa%20sin%20armadura.png" TargetMode="External"/><Relationship Id="rId7" Type="http://schemas.openxmlformats.org/officeDocument/2006/relationships/hyperlink" Target="http://readme.md" TargetMode="External"/><Relationship Id="rId8" Type="http://schemas.openxmlformats.org/officeDocument/2006/relationships/hyperlink" Target="https://raw.githubusercontent.com/Wagl1697/arkanor-assets/main/README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63"/>
    <col customWidth="1" min="3" max="3" width="12.63"/>
    <col customWidth="1" min="4" max="5" width="10.13"/>
    <col customWidth="1" min="6" max="7" width="12.63"/>
    <col customWidth="1" min="8" max="8" width="18.88"/>
    <col customWidth="1" min="9" max="11" width="12.63"/>
  </cols>
  <sheetData>
    <row r="1" ht="60.0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0.0" customHeight="1">
      <c r="A2" s="1" t="s">
        <v>11</v>
      </c>
      <c r="B2" s="1" t="s">
        <v>12</v>
      </c>
      <c r="C2" s="2" t="s">
        <v>13</v>
      </c>
      <c r="D2" s="5" t="str">
        <f>IMAGE("https://drive.google.com/uc?export=view&amp;id=1bOdcFIb0pVyjQUL-BNzGJHRkC-HouPgn",2)</f>
        <v/>
      </c>
      <c r="E2" s="5" t="str">
        <f>IMAGE("https://drive.google.com/uc?export=view&amp;id=1bOdcFIb0pVyjQUL-BNzGJHRkC-HouPgn",1)</f>
        <v/>
      </c>
      <c r="F2" s="6" t="s">
        <v>14</v>
      </c>
      <c r="G2" s="6" t="s">
        <v>15</v>
      </c>
      <c r="H2" s="1" t="s">
        <v>16</v>
      </c>
      <c r="I2" s="7">
        <v>45890.457232175926</v>
      </c>
      <c r="J2" s="7">
        <v>45888.98652777778</v>
      </c>
      <c r="K2" s="1" t="s">
        <v>17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0.0" customHeight="1">
      <c r="A3" s="1" t="s">
        <v>18</v>
      </c>
      <c r="B3" s="1" t="s">
        <v>19</v>
      </c>
      <c r="C3" s="2" t="s">
        <v>20</v>
      </c>
      <c r="D3" s="5" t="str">
        <f>IMAGE("https://drive.google.com/uc?export=view&amp;id=1xhPrB-9-VSuyAFngRzrur68XeML3sSpn",2)</f>
        <v/>
      </c>
      <c r="E3" s="5" t="str">
        <f>IMAGE("https://drive.google.com/uc?export=view&amp;id=1xhPrB-9-VSuyAFngRzrur68XeML3sSpn",1)</f>
        <v/>
      </c>
      <c r="F3" s="6" t="s">
        <v>21</v>
      </c>
      <c r="G3" s="6" t="s">
        <v>22</v>
      </c>
      <c r="H3" s="1" t="s">
        <v>23</v>
      </c>
      <c r="I3" s="7">
        <v>45898.58468090278</v>
      </c>
      <c r="J3" s="7">
        <v>45898.57759259259</v>
      </c>
      <c r="K3" s="1" t="s">
        <v>24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0.0" customHeight="1">
      <c r="A4" s="1" t="s">
        <v>25</v>
      </c>
      <c r="B4" s="1" t="s">
        <v>26</v>
      </c>
      <c r="C4" s="2" t="s">
        <v>27</v>
      </c>
      <c r="D4" s="5" t="str">
        <f>IMAGE("https://drive.google.com/uc?export=view&amp;id=13JnQjJ7FS02czMeME3qFSUQpHh1C6fZ2",2)</f>
        <v/>
      </c>
      <c r="E4" s="5" t="str">
        <f>IMAGE("https://drive.google.com/uc?export=view&amp;id=13JnQjJ7FS02czMeME3qFSUQpHh1C6fZ2",1)</f>
        <v/>
      </c>
      <c r="F4" s="6" t="s">
        <v>28</v>
      </c>
      <c r="G4" s="6" t="s">
        <v>29</v>
      </c>
      <c r="H4" s="1" t="s">
        <v>30</v>
      </c>
      <c r="I4" s="7">
        <v>45913.5561986574</v>
      </c>
      <c r="J4" s="7">
        <v>45907.8559837963</v>
      </c>
      <c r="K4" s="1" t="s">
        <v>31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0.0" customHeight="1">
      <c r="A5" s="1" t="s">
        <v>32</v>
      </c>
      <c r="B5" s="1" t="s">
        <v>33</v>
      </c>
      <c r="C5" s="2" t="s">
        <v>34</v>
      </c>
      <c r="D5" s="5" t="str">
        <f>IMAGE("https://drive.google.com/uc?export=view&amp;id=19OjiGazXeIB8XMlGrhyTeEsuSw_gbuBm",2)</f>
        <v/>
      </c>
      <c r="E5" s="5" t="str">
        <f>IMAGE("https://drive.google.com/uc?export=view&amp;id=19OjiGazXeIB8XMlGrhyTeEsuSw_gbuBm",1)</f>
        <v/>
      </c>
      <c r="F5" s="6" t="s">
        <v>35</v>
      </c>
      <c r="G5" s="6" t="s">
        <v>36</v>
      </c>
      <c r="H5" s="1" t="s">
        <v>16</v>
      </c>
      <c r="I5" s="7">
        <v>45878.44836620371</v>
      </c>
      <c r="J5" s="7">
        <v>45890.46669929398</v>
      </c>
      <c r="K5" s="1" t="s">
        <v>17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0.0" customHeight="1">
      <c r="A6" s="1" t="s">
        <v>37</v>
      </c>
      <c r="B6" s="1" t="s">
        <v>38</v>
      </c>
      <c r="C6" s="2" t="s">
        <v>39</v>
      </c>
      <c r="D6" s="5" t="str">
        <f>IMAGE("https://drive.google.com/uc?export=view&amp;id=1e71cvkL4Ok1TMuyPJMKlwVJkuXGSll5f",2)</f>
        <v/>
      </c>
      <c r="E6" s="5" t="str">
        <f>IMAGE("https://drive.google.com/uc?export=view&amp;id=1e71cvkL4Ok1TMuyPJMKlwVJkuXGSll5f",1)</f>
        <v/>
      </c>
      <c r="F6" s="6" t="s">
        <v>40</v>
      </c>
      <c r="G6" s="6" t="s">
        <v>41</v>
      </c>
      <c r="H6" s="1" t="s">
        <v>23</v>
      </c>
      <c r="I6" s="7">
        <v>45898.58468090278</v>
      </c>
      <c r="J6" s="7">
        <v>45898.57759259259</v>
      </c>
      <c r="K6" s="1" t="s">
        <v>24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0.0" customHeight="1">
      <c r="A7" s="1" t="s">
        <v>42</v>
      </c>
      <c r="B7" s="1" t="s">
        <v>43</v>
      </c>
      <c r="C7" s="2" t="s">
        <v>44</v>
      </c>
      <c r="D7" s="5" t="str">
        <f>IMAGE("https://drive.google.com/uc?export=view&amp;id=1dsZdI-HPlnv_yWyFbAeFV0lZ2Q1YQ0Dz",2)</f>
        <v/>
      </c>
      <c r="E7" s="5" t="str">
        <f>IMAGE("https://drive.google.com/uc?export=view&amp;id=1dsZdI-HPlnv_yWyFbAeFV0lZ2Q1YQ0Dz",1)</f>
        <v/>
      </c>
      <c r="F7" s="6" t="s">
        <v>45</v>
      </c>
      <c r="G7" s="6" t="s">
        <v>46</v>
      </c>
      <c r="H7" s="1" t="s">
        <v>16</v>
      </c>
      <c r="I7" s="7">
        <v>45897.64126574074</v>
      </c>
      <c r="J7" s="7">
        <v>45897.64143415509</v>
      </c>
      <c r="K7" s="1" t="s">
        <v>17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0.0" customHeight="1">
      <c r="A8" s="1" t="s">
        <v>47</v>
      </c>
      <c r="B8" s="1" t="s">
        <v>48</v>
      </c>
      <c r="C8" s="2" t="s">
        <v>49</v>
      </c>
      <c r="D8" s="5" t="str">
        <f>IMAGE("https://drive.google.com/uc?export=view&amp;id=1SD2cgZqJEY5iSVqtmTF9L2XlyQhY_5dT",2)</f>
        <v/>
      </c>
      <c r="E8" s="5" t="str">
        <f>IMAGE("https://drive.google.com/uc?export=view&amp;id=1SD2cgZqJEY5iSVqtmTF9L2XlyQhY_5dT",1)</f>
        <v/>
      </c>
      <c r="F8" s="6" t="s">
        <v>50</v>
      </c>
      <c r="G8" s="6" t="s">
        <v>51</v>
      </c>
      <c r="H8" s="1" t="s">
        <v>23</v>
      </c>
      <c r="I8" s="7">
        <v>45898.5846608912</v>
      </c>
      <c r="J8" s="7">
        <v>45898.57759259259</v>
      </c>
      <c r="K8" s="1" t="s">
        <v>24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0.0" customHeight="1">
      <c r="A9" s="1" t="s">
        <v>52</v>
      </c>
      <c r="B9" s="1" t="s">
        <v>53</v>
      </c>
      <c r="C9" s="2" t="s">
        <v>54</v>
      </c>
      <c r="D9" s="5" t="str">
        <f>IMAGE("https://drive.google.com/uc?export=view&amp;id=1ZVMMbiYfzlWRtWqP0zibn6y7PyvdhAXi",2)</f>
        <v/>
      </c>
      <c r="E9" s="5" t="str">
        <f>IMAGE("https://drive.google.com/uc?export=view&amp;id=1ZVMMbiYfzlWRtWqP0zibn6y7PyvdhAXi",1)</f>
        <v/>
      </c>
      <c r="F9" s="6" t="s">
        <v>55</v>
      </c>
      <c r="G9" s="6" t="s">
        <v>56</v>
      </c>
      <c r="H9" s="1" t="s">
        <v>16</v>
      </c>
      <c r="I9" s="7">
        <v>45869.459937210646</v>
      </c>
      <c r="J9" s="7">
        <v>45869.460014930555</v>
      </c>
      <c r="K9" s="1" t="s">
        <v>57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0.0" customHeight="1">
      <c r="A10" s="1" t="s">
        <v>58</v>
      </c>
      <c r="B10" s="1" t="s">
        <v>59</v>
      </c>
      <c r="C10" s="2" t="s">
        <v>60</v>
      </c>
      <c r="D10" s="5" t="str">
        <f>IMAGE("https://drive.google.com/uc?export=view&amp;id=1lM4oOh06mNhWSOQrKWpUgPoja2qJF0x8",2)</f>
        <v/>
      </c>
      <c r="E10" s="5" t="str">
        <f>IMAGE("https://drive.google.com/uc?export=view&amp;id=1lM4oOh06mNhWSOQrKWpUgPoja2qJF0x8",1)</f>
        <v/>
      </c>
      <c r="F10" s="6" t="s">
        <v>61</v>
      </c>
      <c r="G10" s="6" t="s">
        <v>62</v>
      </c>
      <c r="H10" s="1" t="s">
        <v>63</v>
      </c>
      <c r="I10" s="7">
        <v>45828.54297115741</v>
      </c>
      <c r="J10" s="7">
        <v>45860.69149438657</v>
      </c>
      <c r="K10" s="1" t="s">
        <v>64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0.0" customHeight="1">
      <c r="A11" s="1" t="s">
        <v>65</v>
      </c>
      <c r="B11" s="1" t="s">
        <v>66</v>
      </c>
      <c r="C11" s="2" t="s">
        <v>67</v>
      </c>
      <c r="D11" s="5" t="str">
        <f>IMAGE("https://drive.google.com/uc?export=view&amp;id=1r4_NJbYl8qIDrmcRJe1ans1nRQT2e5e6",2)</f>
        <v/>
      </c>
      <c r="E11" s="5" t="str">
        <f>IMAGE("https://drive.google.com/uc?export=view&amp;id=1r4_NJbYl8qIDrmcRJe1ans1nRQT2e5e6",1)</f>
        <v/>
      </c>
      <c r="F11" s="6" t="s">
        <v>68</v>
      </c>
      <c r="G11" s="6" t="s">
        <v>69</v>
      </c>
      <c r="H11" s="1" t="s">
        <v>70</v>
      </c>
      <c r="I11" s="7">
        <v>45868.75380681713</v>
      </c>
      <c r="J11" s="7">
        <v>45868.754009641205</v>
      </c>
      <c r="K11" s="1" t="s">
        <v>71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0.0" customHeight="1">
      <c r="A12" s="1" t="s">
        <v>72</v>
      </c>
      <c r="B12" s="1" t="s">
        <v>73</v>
      </c>
      <c r="C12" s="2" t="s">
        <v>74</v>
      </c>
      <c r="D12" s="5" t="str">
        <f>IMAGE("https://drive.google.com/uc?export=view&amp;id=17JeaNqQyelC8g1Lk4hebw-omzghYNVYd",2)</f>
        <v/>
      </c>
      <c r="E12" s="5" t="str">
        <f>IMAGE("https://drive.google.com/uc?export=view&amp;id=17JeaNqQyelC8g1Lk4hebw-omzghYNVYd",1)</f>
        <v/>
      </c>
      <c r="F12" s="6" t="s">
        <v>75</v>
      </c>
      <c r="G12" s="6" t="s">
        <v>76</v>
      </c>
      <c r="H12" s="1" t="s">
        <v>16</v>
      </c>
      <c r="I12" s="7">
        <v>45869.46135067129</v>
      </c>
      <c r="J12" s="7">
        <v>46050.41054326389</v>
      </c>
      <c r="K12" s="1" t="s">
        <v>57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0.0" customHeight="1">
      <c r="A13" s="1" t="s">
        <v>77</v>
      </c>
      <c r="B13" s="1" t="s">
        <v>78</v>
      </c>
      <c r="C13" s="2" t="s">
        <v>79</v>
      </c>
      <c r="D13" s="5" t="str">
        <f>IMAGE("https://drive.google.com/uc?export=view&amp;id=10wKZj06QELOmpLZVqmULzdId3r_vjlCf",2)</f>
        <v/>
      </c>
      <c r="E13" s="5" t="str">
        <f>IMAGE("https://drive.google.com/uc?export=view&amp;id=10wKZj06QELOmpLZVqmULzdId3r_vjlCf",1)</f>
        <v/>
      </c>
      <c r="F13" s="6" t="s">
        <v>80</v>
      </c>
      <c r="G13" s="6" t="s">
        <v>81</v>
      </c>
      <c r="H13" s="1" t="s">
        <v>16</v>
      </c>
      <c r="I13" s="7">
        <v>45933.61274185185</v>
      </c>
      <c r="J13" s="7">
        <v>45933.61279167824</v>
      </c>
      <c r="K13" s="1" t="s">
        <v>57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0.0" customHeight="1">
      <c r="A14" s="1" t="s">
        <v>82</v>
      </c>
      <c r="B14" s="1" t="s">
        <v>83</v>
      </c>
      <c r="C14" s="2" t="s">
        <v>84</v>
      </c>
      <c r="D14" s="5" t="str">
        <f>IMAGE("https://drive.google.com/uc?export=view&amp;id=1H720l-bBtPZSSq74ifjJH-Br6gVIpkG3",2)</f>
        <v/>
      </c>
      <c r="E14" s="5" t="str">
        <f>IMAGE("https://drive.google.com/uc?export=view&amp;id=1H720l-bBtPZSSq74ifjJH-Br6gVIpkG3",1)</f>
        <v/>
      </c>
      <c r="F14" s="6" t="s">
        <v>85</v>
      </c>
      <c r="G14" s="6" t="s">
        <v>86</v>
      </c>
      <c r="H14" s="1" t="s">
        <v>30</v>
      </c>
      <c r="I14" s="7">
        <v>45897.45713005787</v>
      </c>
      <c r="J14" s="7">
        <v>45913.55636945602</v>
      </c>
      <c r="K14" s="1" t="s">
        <v>31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0.0" customHeight="1">
      <c r="A15" s="1" t="s">
        <v>87</v>
      </c>
      <c r="B15" s="1" t="s">
        <v>88</v>
      </c>
      <c r="C15" s="2" t="s">
        <v>89</v>
      </c>
      <c r="D15" s="5" t="str">
        <f>IMAGE("https://drive.google.com/uc?export=view&amp;id=1H3nvYC9a2WLcTDitDSjd4cCQDnV2oEVp",2)</f>
        <v/>
      </c>
      <c r="E15" s="5" t="str">
        <f>IMAGE("https://drive.google.com/uc?export=view&amp;id=1H3nvYC9a2WLcTDitDSjd4cCQDnV2oEVp",1)</f>
        <v/>
      </c>
      <c r="F15" s="6" t="s">
        <v>90</v>
      </c>
      <c r="G15" s="6" t="s">
        <v>91</v>
      </c>
      <c r="H15" s="1" t="s">
        <v>92</v>
      </c>
      <c r="I15" s="7">
        <v>45841.52045364583</v>
      </c>
      <c r="J15" s="7">
        <v>45860.708768564815</v>
      </c>
      <c r="K15" s="1" t="s">
        <v>93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1" t="s">
        <v>94</v>
      </c>
      <c r="B16" s="1" t="s">
        <v>95</v>
      </c>
      <c r="C16" s="2" t="s">
        <v>96</v>
      </c>
      <c r="D16" s="5" t="str">
        <f>IMAGE("https://drive.google.com/uc?export=view&amp;id=1VJVa_HN5D4QLi9agcyVmGpSNwkPTyQpL",2)</f>
        <v/>
      </c>
      <c r="E16" s="5" t="str">
        <f>IMAGE("https://drive.google.com/uc?export=view&amp;id=1VJVa_HN5D4QLi9agcyVmGpSNwkPTyQpL",1)</f>
        <v/>
      </c>
      <c r="F16" s="6" t="s">
        <v>97</v>
      </c>
      <c r="G16" s="6" t="s">
        <v>98</v>
      </c>
      <c r="H16" s="1" t="s">
        <v>16</v>
      </c>
      <c r="I16" s="7">
        <v>45875.07033150463</v>
      </c>
      <c r="J16" s="7">
        <v>45890.46698679398</v>
      </c>
      <c r="K16" s="1" t="s">
        <v>17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0.0" customHeight="1">
      <c r="A17" s="1" t="s">
        <v>99</v>
      </c>
      <c r="B17" s="1" t="s">
        <v>100</v>
      </c>
      <c r="C17" s="2" t="s">
        <v>101</v>
      </c>
      <c r="D17" s="5" t="str">
        <f>IMAGE("https://drive.google.com/uc?export=view&amp;id=1uE7k4OC715M-y0etY-ZJ3z7b62LlOXbh",2)</f>
        <v/>
      </c>
      <c r="E17" s="5" t="str">
        <f>IMAGE("https://drive.google.com/uc?export=view&amp;id=1uE7k4OC715M-y0etY-ZJ3z7b62LlOXbh",1)</f>
        <v/>
      </c>
      <c r="F17" s="6" t="s">
        <v>102</v>
      </c>
      <c r="G17" s="6" t="s">
        <v>103</v>
      </c>
      <c r="H17" s="1" t="s">
        <v>23</v>
      </c>
      <c r="I17" s="7">
        <v>45898.58468090278</v>
      </c>
      <c r="J17" s="7">
        <v>45898.57759259259</v>
      </c>
      <c r="K17" s="1" t="s">
        <v>24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0.0" customHeight="1">
      <c r="A18" s="1" t="s">
        <v>104</v>
      </c>
      <c r="B18" s="1" t="s">
        <v>105</v>
      </c>
      <c r="C18" s="2" t="s">
        <v>106</v>
      </c>
      <c r="D18" s="5" t="str">
        <f>IMAGE("https://drive.google.com/uc?export=view&amp;id=1wGB7S1NA9EWp4vG8Rhecp9JibImHTFo4",2)</f>
        <v/>
      </c>
      <c r="E18" s="5" t="str">
        <f>IMAGE("https://drive.google.com/uc?export=view&amp;id=1wGB7S1NA9EWp4vG8Rhecp9JibImHTFo4",1)</f>
        <v/>
      </c>
      <c r="F18" s="6" t="s">
        <v>107</v>
      </c>
      <c r="G18" s="6" t="s">
        <v>108</v>
      </c>
      <c r="H18" s="1" t="s">
        <v>92</v>
      </c>
      <c r="I18" s="7">
        <v>45841.520606527774</v>
      </c>
      <c r="J18" s="7">
        <v>45860.697591006945</v>
      </c>
      <c r="K18" s="1" t="s">
        <v>93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0.0" customHeight="1">
      <c r="A19" s="1" t="s">
        <v>109</v>
      </c>
      <c r="B19" s="1" t="s">
        <v>110</v>
      </c>
      <c r="C19" s="2" t="s">
        <v>111</v>
      </c>
      <c r="D19" s="5" t="str">
        <f>IMAGE("https://drive.google.com/uc?export=view&amp;id=1ygEaDA90jINF8d7llEYoWgl9zmSlTGgR",2)</f>
        <v/>
      </c>
      <c r="E19" s="5" t="str">
        <f>IMAGE("https://drive.google.com/uc?export=view&amp;id=1ygEaDA90jINF8d7llEYoWgl9zmSlTGgR",1)</f>
        <v/>
      </c>
      <c r="F19" s="6" t="s">
        <v>112</v>
      </c>
      <c r="G19" s="6" t="s">
        <v>113</v>
      </c>
      <c r="H19" s="1" t="s">
        <v>114</v>
      </c>
      <c r="I19" s="7">
        <v>45828.54256858796</v>
      </c>
      <c r="J19" s="7">
        <v>45860.69126302083</v>
      </c>
      <c r="K19" s="1" t="s">
        <v>115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0.0" customHeight="1">
      <c r="A20" s="1" t="s">
        <v>116</v>
      </c>
      <c r="B20" s="1" t="s">
        <v>117</v>
      </c>
      <c r="C20" s="2" t="s">
        <v>118</v>
      </c>
      <c r="D20" s="5" t="str">
        <f>IMAGE("https://drive.google.com/uc?export=view&amp;id=1TEFQ5pgpCql5Lg09o99bR5v2jx6yHqs0",2)</f>
        <v/>
      </c>
      <c r="E20" s="5" t="str">
        <f>IMAGE("https://drive.google.com/uc?export=view&amp;id=1TEFQ5pgpCql5Lg09o99bR5v2jx6yHqs0",1)</f>
        <v/>
      </c>
      <c r="F20" s="6" t="s">
        <v>119</v>
      </c>
      <c r="G20" s="6" t="s">
        <v>120</v>
      </c>
      <c r="H20" s="1" t="s">
        <v>121</v>
      </c>
      <c r="I20" s="7">
        <v>46074.49762369213</v>
      </c>
      <c r="J20" s="7">
        <v>46072.67784722222</v>
      </c>
      <c r="K20" s="1" t="s">
        <v>122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0.0" customHeight="1">
      <c r="A21" s="1" t="s">
        <v>123</v>
      </c>
      <c r="B21" s="1" t="s">
        <v>124</v>
      </c>
      <c r="C21" s="2" t="s">
        <v>125</v>
      </c>
      <c r="D21" s="5" t="str">
        <f>IMAGE("https://drive.google.com/uc?export=view&amp;id=1q1FRZ8xbNXH7beXroq91CneyR0bcvcp0",2)</f>
        <v/>
      </c>
      <c r="E21" s="5" t="str">
        <f>IMAGE("https://drive.google.com/uc?export=view&amp;id=1q1FRZ8xbNXH7beXroq91CneyR0bcvcp0",1)</f>
        <v/>
      </c>
      <c r="F21" s="6" t="s">
        <v>126</v>
      </c>
      <c r="G21" s="6" t="s">
        <v>127</v>
      </c>
      <c r="H21" s="1" t="s">
        <v>128</v>
      </c>
      <c r="I21" s="7">
        <v>45932.5757931713</v>
      </c>
      <c r="J21" s="7">
        <v>45932.57601329861</v>
      </c>
      <c r="K21" s="1" t="s">
        <v>129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0.0" customHeight="1">
      <c r="A22" s="1" t="s">
        <v>130</v>
      </c>
      <c r="B22" s="1" t="s">
        <v>131</v>
      </c>
      <c r="C22" s="2" t="s">
        <v>132</v>
      </c>
      <c r="D22" s="5" t="str">
        <f>IMAGE("https://drive.google.com/uc?export=view&amp;id=1DYcfNl_Ff8S-XztEF_NtqOoL48yD2dI-",2)</f>
        <v/>
      </c>
      <c r="E22" s="5" t="str">
        <f>IMAGE("https://drive.google.com/uc?export=view&amp;id=1DYcfNl_Ff8S-XztEF_NtqOoL48yD2dI-",1)</f>
        <v/>
      </c>
      <c r="F22" s="6" t="s">
        <v>133</v>
      </c>
      <c r="G22" s="6" t="s">
        <v>134</v>
      </c>
      <c r="H22" s="1" t="s">
        <v>135</v>
      </c>
      <c r="I22" s="7">
        <v>46059.93893204861</v>
      </c>
      <c r="J22" s="7">
        <v>46059.97554699074</v>
      </c>
      <c r="K22" s="1" t="s">
        <v>136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60.0" customHeight="1">
      <c r="A23" s="1" t="s">
        <v>137</v>
      </c>
      <c r="B23" s="1" t="s">
        <v>138</v>
      </c>
      <c r="C23" s="2" t="s">
        <v>139</v>
      </c>
      <c r="D23" s="5" t="str">
        <f>IMAGE("https://drive.google.com/uc?export=view&amp;id=1K0AT1A83DAUHuH02sV0RkUxjMZn5wLbK",2)</f>
        <v/>
      </c>
      <c r="E23" s="5" t="str">
        <f>IMAGE("https://drive.google.com/uc?export=view&amp;id=1K0AT1A83DAUHuH02sV0RkUxjMZn5wLbK",1)</f>
        <v/>
      </c>
      <c r="F23" s="6" t="s">
        <v>140</v>
      </c>
      <c r="G23" s="6" t="s">
        <v>141</v>
      </c>
      <c r="H23" s="1" t="s">
        <v>135</v>
      </c>
      <c r="I23" s="7">
        <v>46059.96754254629</v>
      </c>
      <c r="J23" s="7">
        <v>46060.3847459838</v>
      </c>
      <c r="K23" s="1" t="s">
        <v>136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0.0" customHeight="1">
      <c r="A24" s="1" t="s">
        <v>142</v>
      </c>
      <c r="B24" s="1" t="s">
        <v>143</v>
      </c>
      <c r="C24" s="2" t="s">
        <v>144</v>
      </c>
      <c r="D24" s="5" t="str">
        <f>IMAGE("https://drive.google.com/uc?export=view&amp;id=1e_Key0ndoPhsglgu8mZoCNFlzc48ULz-",2)</f>
        <v/>
      </c>
      <c r="E24" s="5" t="str">
        <f>IMAGE("https://drive.google.com/uc?export=view&amp;id=1e_Key0ndoPhsglgu8mZoCNFlzc48ULz-",1)</f>
        <v/>
      </c>
      <c r="F24" s="6" t="s">
        <v>145</v>
      </c>
      <c r="G24" s="6" t="s">
        <v>146</v>
      </c>
      <c r="H24" s="1" t="s">
        <v>135</v>
      </c>
      <c r="I24" s="7">
        <v>46059.93574925926</v>
      </c>
      <c r="J24" s="7">
        <v>46060.385699583334</v>
      </c>
      <c r="K24" s="1" t="s">
        <v>136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0.0" customHeight="1">
      <c r="A25" s="1" t="s">
        <v>147</v>
      </c>
      <c r="B25" s="1" t="s">
        <v>148</v>
      </c>
      <c r="C25" s="2" t="s">
        <v>149</v>
      </c>
      <c r="D25" s="5" t="str">
        <f>IMAGE("https://drive.google.com/uc?export=view&amp;id=1fm2CxjXqMBPl57S3gKyFjIUuzZF0Svbx",2)</f>
        <v/>
      </c>
      <c r="E25" s="5" t="str">
        <f>IMAGE("https://drive.google.com/uc?export=view&amp;id=1fm2CxjXqMBPl57S3gKyFjIUuzZF0Svbx",1)</f>
        <v/>
      </c>
      <c r="F25" s="6" t="s">
        <v>150</v>
      </c>
      <c r="G25" s="6" t="s">
        <v>151</v>
      </c>
      <c r="H25" s="1" t="s">
        <v>135</v>
      </c>
      <c r="I25" s="7">
        <v>46059.966679791665</v>
      </c>
      <c r="J25" s="7">
        <v>46060.385957060185</v>
      </c>
      <c r="K25" s="1" t="s">
        <v>136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60.0" customHeight="1">
      <c r="A26" s="1" t="s">
        <v>152</v>
      </c>
      <c r="B26" s="1" t="s">
        <v>153</v>
      </c>
      <c r="C26" s="2" t="s">
        <v>154</v>
      </c>
      <c r="D26" s="5" t="str">
        <f>IMAGE("https://drive.google.com/uc?export=view&amp;id=1KL1ItwsD1rOoWhoDomJC3ghWizwDNfPJ",2)</f>
        <v/>
      </c>
      <c r="E26" s="5" t="str">
        <f>IMAGE("https://drive.google.com/uc?export=view&amp;id=1KL1ItwsD1rOoWhoDomJC3ghWizwDNfPJ",1)</f>
        <v/>
      </c>
      <c r="F26" s="6" t="s">
        <v>155</v>
      </c>
      <c r="G26" s="6" t="s">
        <v>156</v>
      </c>
      <c r="H26" s="1" t="s">
        <v>16</v>
      </c>
      <c r="I26" s="7">
        <v>45875.070439953706</v>
      </c>
      <c r="J26" s="7">
        <v>45890.46710840278</v>
      </c>
      <c r="K26" s="1" t="s">
        <v>17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60.0" customHeight="1">
      <c r="A27" s="1" t="s">
        <v>157</v>
      </c>
      <c r="B27" s="1" t="s">
        <v>158</v>
      </c>
      <c r="C27" s="2" t="s">
        <v>159</v>
      </c>
      <c r="D27" s="5" t="str">
        <f>IMAGE("https://drive.google.com/uc?export=view&amp;id=1a-SBHxV_JjGkEpkkD7P14sJGhuSEoKJu",2)</f>
        <v/>
      </c>
      <c r="E27" s="5" t="str">
        <f>IMAGE("https://drive.google.com/uc?export=view&amp;id=1a-SBHxV_JjGkEpkkD7P14sJGhuSEoKJu",1)</f>
        <v/>
      </c>
      <c r="F27" s="6" t="s">
        <v>160</v>
      </c>
      <c r="G27" s="6" t="s">
        <v>161</v>
      </c>
      <c r="H27" s="1" t="s">
        <v>23</v>
      </c>
      <c r="I27" s="7">
        <v>45898.58456398148</v>
      </c>
      <c r="J27" s="7">
        <v>45898.57760416667</v>
      </c>
      <c r="K27" s="1" t="s">
        <v>24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60.0" customHeight="1">
      <c r="A28" s="1" t="s">
        <v>162</v>
      </c>
      <c r="B28" s="1" t="s">
        <v>163</v>
      </c>
      <c r="C28" s="2" t="s">
        <v>164</v>
      </c>
      <c r="D28" s="5" t="str">
        <f>IMAGE("https://drive.google.com/uc?export=view&amp;id=13D66IkPHLGIo4bkunrYMMCyuECoK0zNK",2)</f>
        <v/>
      </c>
      <c r="E28" s="5" t="str">
        <f>IMAGE("https://drive.google.com/uc?export=view&amp;id=13D66IkPHLGIo4bkunrYMMCyuECoK0zNK",1)</f>
        <v/>
      </c>
      <c r="F28" s="6" t="s">
        <v>165</v>
      </c>
      <c r="G28" s="6" t="s">
        <v>166</v>
      </c>
      <c r="H28" s="1" t="s">
        <v>30</v>
      </c>
      <c r="I28" s="7">
        <v>45913.54289945602</v>
      </c>
      <c r="J28" s="7">
        <v>45902.53878472222</v>
      </c>
      <c r="K28" s="1" t="s">
        <v>31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60.0" customHeight="1">
      <c r="A29" s="1" t="s">
        <v>167</v>
      </c>
      <c r="B29" s="1" t="s">
        <v>168</v>
      </c>
      <c r="C29" s="2" t="s">
        <v>169</v>
      </c>
      <c r="D29" s="5" t="str">
        <f>IMAGE("https://drive.google.com/uc?export=view&amp;id=1ON9GNsOJz7SZkshkHUQluPg9bZKFowyO",2)</f>
        <v/>
      </c>
      <c r="E29" s="5" t="str">
        <f>IMAGE("https://drive.google.com/uc?export=view&amp;id=1ON9GNsOJz7SZkshkHUQluPg9bZKFowyO",1)</f>
        <v/>
      </c>
      <c r="F29" s="6" t="s">
        <v>170</v>
      </c>
      <c r="G29" s="6" t="s">
        <v>171</v>
      </c>
      <c r="H29" s="1" t="s">
        <v>92</v>
      </c>
      <c r="I29" s="7">
        <v>46009.41379914352</v>
      </c>
      <c r="J29" s="7">
        <v>46008.77784722223</v>
      </c>
      <c r="K29" s="1" t="s">
        <v>93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60.0" customHeight="1">
      <c r="A30" s="1" t="s">
        <v>172</v>
      </c>
      <c r="B30" s="1" t="s">
        <v>173</v>
      </c>
      <c r="C30" s="2" t="s">
        <v>174</v>
      </c>
      <c r="D30" s="5" t="str">
        <f>IMAGE("https://drive.google.com/uc?export=view&amp;id=1bgC0_ihUsTcqOJqSCd4KvqiqCvl5VaUV",2)</f>
        <v/>
      </c>
      <c r="E30" s="5" t="str">
        <f>IMAGE("https://drive.google.com/uc?export=view&amp;id=1bgC0_ihUsTcqOJqSCd4KvqiqCvl5VaUV",1)</f>
        <v/>
      </c>
      <c r="F30" s="6" t="s">
        <v>175</v>
      </c>
      <c r="G30" s="6" t="s">
        <v>176</v>
      </c>
      <c r="H30" s="1" t="s">
        <v>177</v>
      </c>
      <c r="I30" s="7">
        <v>45948.811658819446</v>
      </c>
      <c r="J30" s="7">
        <v>45948.811738136574</v>
      </c>
      <c r="K30" s="1" t="s">
        <v>178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60.0" customHeight="1">
      <c r="A31" s="1" t="s">
        <v>179</v>
      </c>
      <c r="B31" s="1" t="s">
        <v>180</v>
      </c>
      <c r="C31" s="2" t="s">
        <v>181</v>
      </c>
      <c r="D31" s="5" t="str">
        <f>IMAGE("https://drive.google.com/uc?export=view&amp;id=127gTL2-YZlJjTNzZpY2cdfwNE3aVTIXV",2)</f>
        <v/>
      </c>
      <c r="E31" s="5" t="str">
        <f>IMAGE("https://drive.google.com/uc?export=view&amp;id=127gTL2-YZlJjTNzZpY2cdfwNE3aVTIXV",1)</f>
        <v/>
      </c>
      <c r="F31" s="6" t="s">
        <v>182</v>
      </c>
      <c r="G31" s="6" t="s">
        <v>183</v>
      </c>
      <c r="H31" s="1" t="s">
        <v>135</v>
      </c>
      <c r="I31" s="7">
        <v>46059.93495865741</v>
      </c>
      <c r="J31" s="7">
        <v>46060.384284201384</v>
      </c>
      <c r="K31" s="1" t="s">
        <v>136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60.0" customHeight="1">
      <c r="A32" s="1" t="s">
        <v>184</v>
      </c>
      <c r="B32" s="1" t="s">
        <v>185</v>
      </c>
      <c r="C32" s="2" t="s">
        <v>186</v>
      </c>
      <c r="D32" s="5" t="str">
        <f>IMAGE("https://drive.google.com/uc?export=view&amp;id=1IeJYrjQUwAhKyfE8801_Uj3hXGPhNY0m",2)</f>
        <v/>
      </c>
      <c r="E32" s="5" t="str">
        <f>IMAGE("https://drive.google.com/uc?export=view&amp;id=1IeJYrjQUwAhKyfE8801_Uj3hXGPhNY0m",1)</f>
        <v/>
      </c>
      <c r="F32" s="6" t="s">
        <v>187</v>
      </c>
      <c r="G32" s="6" t="s">
        <v>188</v>
      </c>
      <c r="H32" s="1" t="s">
        <v>135</v>
      </c>
      <c r="I32" s="7">
        <v>46059.935134872685</v>
      </c>
      <c r="J32" s="7">
        <v>46060.384531655094</v>
      </c>
      <c r="K32" s="1" t="s">
        <v>136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60.0" customHeight="1">
      <c r="A33" s="1" t="s">
        <v>189</v>
      </c>
      <c r="B33" s="1" t="s">
        <v>190</v>
      </c>
      <c r="C33" s="2" t="s">
        <v>191</v>
      </c>
      <c r="D33" s="5" t="str">
        <f>IMAGE("https://drive.google.com/uc?export=view&amp;id=15AvGPiGcOXN-4OzhfykS-7X5j8G5qqqp",2)</f>
        <v/>
      </c>
      <c r="E33" s="5" t="str">
        <f>IMAGE("https://drive.google.com/uc?export=view&amp;id=15AvGPiGcOXN-4OzhfykS-7X5j8G5qqqp",1)</f>
        <v/>
      </c>
      <c r="F33" s="6" t="s">
        <v>192</v>
      </c>
      <c r="G33" s="6" t="s">
        <v>193</v>
      </c>
      <c r="H33" s="1" t="s">
        <v>135</v>
      </c>
      <c r="I33" s="7">
        <v>46059.93703825232</v>
      </c>
      <c r="J33" s="7">
        <v>46060.38609407407</v>
      </c>
      <c r="K33" s="1" t="s">
        <v>136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60.0" customHeight="1">
      <c r="A34" s="1" t="s">
        <v>194</v>
      </c>
      <c r="B34" s="1" t="s">
        <v>195</v>
      </c>
      <c r="C34" s="2" t="s">
        <v>196</v>
      </c>
      <c r="D34" s="5" t="str">
        <f>IMAGE("https://drive.google.com/uc?export=view&amp;id=1z5ozPIbe14Hq_v5shu60Iy3EF4dPTEYa",2)</f>
        <v/>
      </c>
      <c r="E34" s="5" t="str">
        <f>IMAGE("https://drive.google.com/uc?export=view&amp;id=1z5ozPIbe14Hq_v5shu60Iy3EF4dPTEYa",1)</f>
        <v/>
      </c>
      <c r="F34" s="6" t="s">
        <v>197</v>
      </c>
      <c r="G34" s="6" t="s">
        <v>198</v>
      </c>
      <c r="H34" s="1" t="s">
        <v>135</v>
      </c>
      <c r="I34" s="7">
        <v>46059.9444344213</v>
      </c>
      <c r="J34" s="7">
        <v>46060.38625430556</v>
      </c>
      <c r="K34" s="1" t="s">
        <v>136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60.0" customHeight="1">
      <c r="A35" s="1" t="s">
        <v>199</v>
      </c>
      <c r="B35" s="1" t="s">
        <v>200</v>
      </c>
      <c r="C35" s="2" t="s">
        <v>201</v>
      </c>
      <c r="D35" s="5" t="str">
        <f>IMAGE("https://drive.google.com/uc?export=view&amp;id=1tYIDu12BRnpnFis1iDi98XtgFJt2RJaY",2)</f>
        <v/>
      </c>
      <c r="E35" s="5" t="str">
        <f>IMAGE("https://drive.google.com/uc?export=view&amp;id=1tYIDu12BRnpnFis1iDi98XtgFJt2RJaY",1)</f>
        <v/>
      </c>
      <c r="F35" s="6" t="s">
        <v>202</v>
      </c>
      <c r="G35" s="6" t="s">
        <v>203</v>
      </c>
      <c r="H35" s="1" t="s">
        <v>16</v>
      </c>
      <c r="I35" s="7">
        <v>45887.50028678241</v>
      </c>
      <c r="J35" s="7">
        <v>45890.46721887731</v>
      </c>
      <c r="K35" s="1" t="s">
        <v>17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60.0" customHeight="1">
      <c r="A36" s="1" t="s">
        <v>204</v>
      </c>
      <c r="B36" s="1" t="s">
        <v>205</v>
      </c>
      <c r="C36" s="2" t="s">
        <v>206</v>
      </c>
      <c r="D36" s="5" t="str">
        <f>IMAGE("https://drive.google.com/uc?export=view&amp;id=1QXUxBTird7lptP5pR6G-zRndm-feR4wo",2)</f>
        <v/>
      </c>
      <c r="E36" s="5" t="str">
        <f>IMAGE("https://drive.google.com/uc?export=view&amp;id=1QXUxBTird7lptP5pR6G-zRndm-feR4wo",1)</f>
        <v/>
      </c>
      <c r="F36" s="6" t="s">
        <v>207</v>
      </c>
      <c r="G36" s="6" t="s">
        <v>208</v>
      </c>
      <c r="H36" s="1" t="s">
        <v>23</v>
      </c>
      <c r="I36" s="7">
        <v>45898.584549328705</v>
      </c>
      <c r="J36" s="7">
        <v>45898.57760416667</v>
      </c>
      <c r="K36" s="1" t="s">
        <v>24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60.0" customHeight="1">
      <c r="A37" s="1" t="s">
        <v>209</v>
      </c>
      <c r="B37" s="1" t="s">
        <v>210</v>
      </c>
      <c r="C37" s="2" t="s">
        <v>211</v>
      </c>
      <c r="D37" s="5" t="str">
        <f>IMAGE("https://drive.google.com/uc?export=view&amp;id=1AD16-tc1wUxJCdfgOSA08pG6vYSzFmL5",2)</f>
        <v/>
      </c>
      <c r="E37" s="5" t="str">
        <f>IMAGE("https://drive.google.com/uc?export=view&amp;id=1AD16-tc1wUxJCdfgOSA08pG6vYSzFmL5",1)</f>
        <v/>
      </c>
      <c r="F37" s="6" t="s">
        <v>212</v>
      </c>
      <c r="G37" s="6" t="s">
        <v>213</v>
      </c>
      <c r="H37" s="1" t="s">
        <v>16</v>
      </c>
      <c r="I37" s="7">
        <v>45890.45737694444</v>
      </c>
      <c r="J37" s="7">
        <v>45889.47954861111</v>
      </c>
      <c r="K37" s="1" t="s">
        <v>17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60.0" customHeight="1">
      <c r="A38" s="1" t="s">
        <v>214</v>
      </c>
      <c r="B38" s="1" t="s">
        <v>215</v>
      </c>
      <c r="C38" s="2" t="s">
        <v>216</v>
      </c>
      <c r="D38" s="5" t="str">
        <f>IMAGE("https://drive.google.com/uc?export=view&amp;id=1goyINUYuYXIdGA5AUUsAuIASAg9ai33z",2)</f>
        <v/>
      </c>
      <c r="E38" s="5" t="str">
        <f>IMAGE("https://drive.google.com/uc?export=view&amp;id=1goyINUYuYXIdGA5AUUsAuIASAg9ai33z",1)</f>
        <v/>
      </c>
      <c r="F38" s="6" t="s">
        <v>217</v>
      </c>
      <c r="G38" s="6" t="s">
        <v>218</v>
      </c>
      <c r="H38" s="1" t="s">
        <v>23</v>
      </c>
      <c r="I38" s="7">
        <v>45898.584618912035</v>
      </c>
      <c r="J38" s="7">
        <v>45898.57760416667</v>
      </c>
      <c r="K38" s="1" t="s">
        <v>24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60.0" customHeight="1">
      <c r="A39" s="1" t="s">
        <v>219</v>
      </c>
      <c r="B39" s="1" t="s">
        <v>220</v>
      </c>
      <c r="C39" s="2" t="s">
        <v>221</v>
      </c>
      <c r="D39" s="5" t="str">
        <f>IMAGE("https://drive.google.com/uc?export=view&amp;id=1hbOGvcaTg4aWhA06tNmwQvwM4oFWqCCs",2)</f>
        <v/>
      </c>
      <c r="E39" s="5" t="str">
        <f>IMAGE("https://drive.google.com/uc?export=view&amp;id=1hbOGvcaTg4aWhA06tNmwQvwM4oFWqCCs",1)</f>
        <v/>
      </c>
      <c r="F39" s="6" t="s">
        <v>222</v>
      </c>
      <c r="G39" s="6" t="s">
        <v>223</v>
      </c>
      <c r="H39" s="1" t="s">
        <v>30</v>
      </c>
      <c r="I39" s="7">
        <v>45897.45728747685</v>
      </c>
      <c r="J39" s="7">
        <v>45913.547812812496</v>
      </c>
      <c r="K39" s="1" t="s">
        <v>31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60.0" customHeight="1">
      <c r="A40" s="1" t="s">
        <v>224</v>
      </c>
      <c r="B40" s="1" t="s">
        <v>225</v>
      </c>
      <c r="C40" s="2" t="s">
        <v>226</v>
      </c>
      <c r="D40" s="5" t="str">
        <f>IMAGE("https://drive.google.com/uc?export=view&amp;id=1pMaKyYxo8WpSVVeJxVwO99dd4leId0N9",2)</f>
        <v/>
      </c>
      <c r="E40" s="5" t="str">
        <f>IMAGE("https://drive.google.com/uc?export=view&amp;id=1pMaKyYxo8WpSVVeJxVwO99dd4leId0N9",1)</f>
        <v/>
      </c>
      <c r="F40" s="6" t="s">
        <v>227</v>
      </c>
      <c r="G40" s="6" t="s">
        <v>228</v>
      </c>
      <c r="H40" s="1" t="s">
        <v>30</v>
      </c>
      <c r="I40" s="7">
        <v>45897.45165849537</v>
      </c>
      <c r="J40" s="7">
        <v>45913.54797353009</v>
      </c>
      <c r="K40" s="1" t="s">
        <v>31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60.0" customHeight="1">
      <c r="A41" s="1" t="s">
        <v>229</v>
      </c>
      <c r="B41" s="1" t="s">
        <v>230</v>
      </c>
      <c r="C41" s="2" t="s">
        <v>231</v>
      </c>
      <c r="D41" s="5" t="str">
        <f>IMAGE("https://drive.google.com/uc?export=view&amp;id=1zksSSkO5b1b9ls0dbHP8pmVPMwI7IjrC",2)</f>
        <v/>
      </c>
      <c r="E41" s="5" t="str">
        <f>IMAGE("https://drive.google.com/uc?export=view&amp;id=1zksSSkO5b1b9ls0dbHP8pmVPMwI7IjrC",1)</f>
        <v/>
      </c>
      <c r="F41" s="6" t="s">
        <v>232</v>
      </c>
      <c r="G41" s="6" t="s">
        <v>233</v>
      </c>
      <c r="H41" s="1" t="s">
        <v>234</v>
      </c>
      <c r="I41" s="7">
        <v>46070.949293935184</v>
      </c>
      <c r="J41" s="7">
        <v>46081.67946240741</v>
      </c>
      <c r="K41" s="1" t="s">
        <v>235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60.0" customHeight="1">
      <c r="A42" s="1" t="s">
        <v>236</v>
      </c>
      <c r="B42" s="1" t="s">
        <v>237</v>
      </c>
      <c r="C42" s="2" t="s">
        <v>238</v>
      </c>
      <c r="D42" s="5" t="str">
        <f>IMAGE("https://drive.google.com/uc?export=view&amp;id=1hGqeOP8lk8mPRSVllTegocNIF8RZWtGy",2)</f>
        <v/>
      </c>
      <c r="E42" s="5" t="str">
        <f>IMAGE("https://drive.google.com/uc?export=view&amp;id=1hGqeOP8lk8mPRSVllTegocNIF8RZWtGy",1)</f>
        <v/>
      </c>
      <c r="F42" s="6" t="s">
        <v>239</v>
      </c>
      <c r="G42" s="6" t="s">
        <v>240</v>
      </c>
      <c r="H42" s="1" t="s">
        <v>234</v>
      </c>
      <c r="I42" s="7">
        <v>46070.95096569444</v>
      </c>
      <c r="J42" s="7">
        <v>46081.6793278125</v>
      </c>
      <c r="K42" s="1" t="s">
        <v>235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60.0" customHeight="1">
      <c r="A43" s="1" t="s">
        <v>241</v>
      </c>
      <c r="B43" s="1" t="s">
        <v>242</v>
      </c>
      <c r="C43" s="2" t="s">
        <v>243</v>
      </c>
      <c r="D43" s="5" t="str">
        <f>IMAGE("https://drive.google.com/uc?export=view&amp;id=1iY-LoEe1zXj1FFmjlimvd22RNqWcVzjL",2)</f>
        <v/>
      </c>
      <c r="E43" s="5" t="str">
        <f>IMAGE("https://drive.google.com/uc?export=view&amp;id=1iY-LoEe1zXj1FFmjlimvd22RNqWcVzjL",1)</f>
        <v/>
      </c>
      <c r="F43" s="6" t="s">
        <v>244</v>
      </c>
      <c r="G43" s="6" t="s">
        <v>245</v>
      </c>
      <c r="H43" s="1" t="s">
        <v>173</v>
      </c>
      <c r="I43" s="7">
        <v>45828.54269458333</v>
      </c>
      <c r="J43" s="7">
        <v>45860.69789214121</v>
      </c>
      <c r="K43" s="1" t="s">
        <v>246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60.0" customHeight="1">
      <c r="A44" s="1" t="s">
        <v>247</v>
      </c>
      <c r="B44" s="1" t="s">
        <v>248</v>
      </c>
      <c r="C44" s="2" t="s">
        <v>249</v>
      </c>
      <c r="D44" s="5" t="str">
        <f>IMAGE("https://drive.google.com/uc?export=view&amp;id=1EnLPVxzyh3KbIK_Qs0H5JVLJSiPj9ytW",2)</f>
        <v/>
      </c>
      <c r="E44" s="5" t="str">
        <f>IMAGE("https://drive.google.com/uc?export=view&amp;id=1EnLPVxzyh3KbIK_Qs0H5JVLJSiPj9ytW",1)</f>
        <v/>
      </c>
      <c r="F44" s="6" t="s">
        <v>250</v>
      </c>
      <c r="G44" s="6" t="s">
        <v>251</v>
      </c>
      <c r="H44" s="1" t="s">
        <v>16</v>
      </c>
      <c r="I44" s="7">
        <v>45872.78409601851</v>
      </c>
      <c r="J44" s="7">
        <v>45890.467352858795</v>
      </c>
      <c r="K44" s="1" t="s">
        <v>17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60.0" customHeight="1">
      <c r="A45" s="1" t="s">
        <v>252</v>
      </c>
      <c r="B45" s="1" t="s">
        <v>253</v>
      </c>
      <c r="C45" s="2" t="s">
        <v>254</v>
      </c>
      <c r="D45" s="5" t="str">
        <f>IMAGE("https://drive.google.com/uc?export=view&amp;id=1gcjHwhbuXWp-iGsL_5YdPL0jfkxZTVFm",2)</f>
        <v/>
      </c>
      <c r="E45" s="5" t="str">
        <f>IMAGE("https://drive.google.com/uc?export=view&amp;id=1gcjHwhbuXWp-iGsL_5YdPL0jfkxZTVFm",1)</f>
        <v/>
      </c>
      <c r="F45" s="6" t="s">
        <v>255</v>
      </c>
      <c r="G45" s="6" t="s">
        <v>256</v>
      </c>
      <c r="H45" s="1" t="s">
        <v>23</v>
      </c>
      <c r="I45" s="7">
        <v>45898.584600601855</v>
      </c>
      <c r="J45" s="7">
        <v>45898.57760416667</v>
      </c>
      <c r="K45" s="1" t="s">
        <v>24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60.0" customHeight="1">
      <c r="A46" s="1" t="s">
        <v>257</v>
      </c>
      <c r="B46" s="1" t="s">
        <v>258</v>
      </c>
      <c r="C46" s="2" t="s">
        <v>259</v>
      </c>
      <c r="D46" s="5" t="str">
        <f>IMAGE("https://drive.google.com/uc?export=view&amp;id=1cnS2Ud9716t5FmtoZj6jTix_PNuRynzr",2)</f>
        <v/>
      </c>
      <c r="E46" s="5" t="str">
        <f>IMAGE("https://drive.google.com/uc?export=view&amp;id=1cnS2Ud9716t5FmtoZj6jTix_PNuRynzr",1)</f>
        <v/>
      </c>
      <c r="F46" s="6" t="s">
        <v>260</v>
      </c>
      <c r="G46" s="6" t="s">
        <v>261</v>
      </c>
      <c r="H46" s="1" t="s">
        <v>63</v>
      </c>
      <c r="I46" s="7">
        <v>45828.54258258102</v>
      </c>
      <c r="J46" s="7">
        <v>45860.69126125</v>
      </c>
      <c r="K46" s="1" t="s">
        <v>64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60.0" customHeight="1">
      <c r="A47" s="1" t="s">
        <v>262</v>
      </c>
      <c r="B47" s="1" t="s">
        <v>263</v>
      </c>
      <c r="C47" s="2" t="s">
        <v>264</v>
      </c>
      <c r="D47" s="5" t="str">
        <f>IMAGE("https://drive.google.com/uc?export=view&amp;id=1H5Xy5Ktu2FmOEqJXMEqMEoa2h0mUF4c3",2)</f>
        <v/>
      </c>
      <c r="E47" s="5" t="str">
        <f>IMAGE("https://drive.google.com/uc?export=view&amp;id=1H5Xy5Ktu2FmOEqJXMEqMEoa2h0mUF4c3",1)</f>
        <v/>
      </c>
      <c r="F47" s="6" t="s">
        <v>265</v>
      </c>
      <c r="G47" s="6" t="s">
        <v>266</v>
      </c>
      <c r="H47" s="1" t="s">
        <v>30</v>
      </c>
      <c r="I47" s="7">
        <v>45897.457404201385</v>
      </c>
      <c r="J47" s="7">
        <v>45913.548704050925</v>
      </c>
      <c r="K47" s="1" t="s">
        <v>31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60.0" customHeight="1">
      <c r="A48" s="1" t="s">
        <v>267</v>
      </c>
      <c r="B48" s="1" t="s">
        <v>268</v>
      </c>
      <c r="C48" s="2" t="s">
        <v>269</v>
      </c>
      <c r="D48" s="5" t="str">
        <f>IMAGE("https://drive.google.com/uc?export=view&amp;id=1eNHAckRUjfVmt-iP5Ho5ERC8xVCYMH6S",2)</f>
        <v/>
      </c>
      <c r="E48" s="5" t="str">
        <f>IMAGE("https://drive.google.com/uc?export=view&amp;id=1eNHAckRUjfVmt-iP5Ho5ERC8xVCYMH6S",1)</f>
        <v/>
      </c>
      <c r="F48" s="6" t="s">
        <v>270</v>
      </c>
      <c r="G48" s="6" t="s">
        <v>271</v>
      </c>
      <c r="H48" s="1" t="s">
        <v>272</v>
      </c>
      <c r="I48" s="7">
        <v>46078.462452604166</v>
      </c>
      <c r="J48" s="7">
        <v>46075.777604166666</v>
      </c>
      <c r="K48" s="1" t="s">
        <v>273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60.0" customHeight="1">
      <c r="A49" s="1" t="s">
        <v>274</v>
      </c>
      <c r="B49" s="1" t="s">
        <v>275</v>
      </c>
      <c r="C49" s="2" t="s">
        <v>276</v>
      </c>
      <c r="D49" s="5" t="str">
        <f>IMAGE("https://drive.google.com/uc?export=view&amp;id=1SMIMLV9RyOOUugN_3DMB38TxB5eFtWOP",2)</f>
        <v/>
      </c>
      <c r="E49" s="5" t="str">
        <f>IMAGE("https://drive.google.com/uc?export=view&amp;id=1SMIMLV9RyOOUugN_3DMB38TxB5eFtWOP",1)</f>
        <v/>
      </c>
      <c r="F49" s="6" t="s">
        <v>277</v>
      </c>
      <c r="G49" s="6" t="s">
        <v>278</v>
      </c>
      <c r="H49" s="1" t="s">
        <v>272</v>
      </c>
      <c r="I49" s="7">
        <v>46078.46299814815</v>
      </c>
      <c r="J49" s="7">
        <v>46076.40278935185</v>
      </c>
      <c r="K49" s="1" t="s">
        <v>273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60.0" customHeight="1">
      <c r="A50" s="1" t="s">
        <v>279</v>
      </c>
      <c r="B50" s="1" t="s">
        <v>280</v>
      </c>
      <c r="C50" s="2" t="s">
        <v>281</v>
      </c>
      <c r="D50" s="5" t="str">
        <f>IMAGE("https://drive.google.com/uc?export=view&amp;id=1DVOvy3Rwgajk_HcyOlhNZSxfll9j5_aU",2)</f>
        <v/>
      </c>
      <c r="E50" s="5" t="str">
        <f>IMAGE("https://drive.google.com/uc?export=view&amp;id=1DVOvy3Rwgajk_HcyOlhNZSxfll9j5_aU",1)</f>
        <v/>
      </c>
      <c r="F50" s="6" t="s">
        <v>282</v>
      </c>
      <c r="G50" s="6" t="s">
        <v>283</v>
      </c>
      <c r="H50" s="1" t="s">
        <v>272</v>
      </c>
      <c r="I50" s="7">
        <v>46078.46124885417</v>
      </c>
      <c r="J50" s="7">
        <v>46075.76268518518</v>
      </c>
      <c r="K50" s="1" t="s">
        <v>273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60.0" customHeight="1">
      <c r="A51" s="1" t="s">
        <v>284</v>
      </c>
      <c r="B51" s="1" t="s">
        <v>285</v>
      </c>
      <c r="C51" s="2" t="s">
        <v>286</v>
      </c>
      <c r="D51" s="5" t="str">
        <f>IMAGE("https://drive.google.com/uc?export=view&amp;id=1C-jQCQZoXGq75FeiLQzuqndbaTl49qWY",2)</f>
        <v/>
      </c>
      <c r="E51" s="5" t="str">
        <f>IMAGE("https://drive.google.com/uc?export=view&amp;id=1C-jQCQZoXGq75FeiLQzuqndbaTl49qWY",1)</f>
        <v/>
      </c>
      <c r="F51" s="6" t="s">
        <v>287</v>
      </c>
      <c r="G51" s="6" t="s">
        <v>288</v>
      </c>
      <c r="H51" s="1" t="s">
        <v>114</v>
      </c>
      <c r="I51" s="7">
        <v>45828.54258258102</v>
      </c>
      <c r="J51" s="7">
        <v>45860.69126574074</v>
      </c>
      <c r="K51" s="1" t="s">
        <v>115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60.0" customHeight="1">
      <c r="A52" s="1" t="s">
        <v>289</v>
      </c>
      <c r="B52" s="1" t="s">
        <v>290</v>
      </c>
      <c r="C52" s="2" t="s">
        <v>291</v>
      </c>
      <c r="D52" s="5" t="str">
        <f>IMAGE("https://drive.google.com/uc?export=view&amp;id=1syiHCbH6Usbq1GPN0sYnA0oRkOIKG6aP",2)</f>
        <v/>
      </c>
      <c r="E52" s="5" t="str">
        <f>IMAGE("https://drive.google.com/uc?export=view&amp;id=1syiHCbH6Usbq1GPN0sYnA0oRkOIKG6aP",1)</f>
        <v/>
      </c>
      <c r="F52" s="6" t="s">
        <v>292</v>
      </c>
      <c r="G52" s="6" t="s">
        <v>293</v>
      </c>
      <c r="H52" s="1" t="s">
        <v>114</v>
      </c>
      <c r="I52" s="7">
        <v>45828.54258258102</v>
      </c>
      <c r="J52" s="7">
        <v>45860.69126550926</v>
      </c>
      <c r="K52" s="1" t="s">
        <v>115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60.0" customHeight="1">
      <c r="A53" s="1" t="s">
        <v>294</v>
      </c>
      <c r="B53" s="1" t="s">
        <v>295</v>
      </c>
      <c r="C53" s="2" t="s">
        <v>296</v>
      </c>
      <c r="D53" s="5" t="str">
        <f>IMAGE("https://drive.google.com/uc?export=view&amp;id=1PLb3jAZ6sh9XBVtchJrJxZBWouECmkXY",2)</f>
        <v/>
      </c>
      <c r="E53" s="5" t="str">
        <f>IMAGE("https://drive.google.com/uc?export=view&amp;id=1PLb3jAZ6sh9XBVtchJrJxZBWouECmkXY",1)</f>
        <v/>
      </c>
      <c r="F53" s="6" t="s">
        <v>297</v>
      </c>
      <c r="G53" s="6" t="s">
        <v>298</v>
      </c>
      <c r="H53" s="1" t="s">
        <v>177</v>
      </c>
      <c r="I53" s="7">
        <v>45948.90685153935</v>
      </c>
      <c r="J53" s="7">
        <v>45948.91030162037</v>
      </c>
      <c r="K53" s="1" t="s">
        <v>178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60.0" customHeight="1">
      <c r="A54" s="1" t="s">
        <v>299</v>
      </c>
      <c r="B54" s="1" t="s">
        <v>300</v>
      </c>
      <c r="C54" s="2" t="s">
        <v>301</v>
      </c>
      <c r="D54" s="5" t="str">
        <f>IMAGE("https://drive.google.com/uc?export=view&amp;id=1V3ivKiBJ_QRnNa3tl2EgP2bCw1htGU2k",2)</f>
        <v/>
      </c>
      <c r="E54" s="5" t="str">
        <f>IMAGE("https://drive.google.com/uc?export=view&amp;id=1V3ivKiBJ_QRnNa3tl2EgP2bCw1htGU2k",1)</f>
        <v/>
      </c>
      <c r="F54" s="6" t="s">
        <v>302</v>
      </c>
      <c r="G54" s="6" t="s">
        <v>303</v>
      </c>
      <c r="H54" s="1" t="s">
        <v>304</v>
      </c>
      <c r="I54" s="7">
        <v>45860.69553258102</v>
      </c>
      <c r="J54" s="7">
        <v>45924.57191557871</v>
      </c>
      <c r="K54" s="1" t="s">
        <v>305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60.0" customHeight="1">
      <c r="A55" s="1" t="s">
        <v>306</v>
      </c>
      <c r="B55" s="1" t="s">
        <v>307</v>
      </c>
      <c r="C55" s="2" t="s">
        <v>308</v>
      </c>
      <c r="D55" s="5" t="str">
        <f>IMAGE("https://drive.google.com/uc?export=view&amp;id=1MDz4lUYuhwoR2RIx3ROmkLfQ-hGICuTN",2)</f>
        <v/>
      </c>
      <c r="E55" s="5" t="str">
        <f>IMAGE("https://drive.google.com/uc?export=view&amp;id=1MDz4lUYuhwoR2RIx3ROmkLfQ-hGICuTN",1)</f>
        <v/>
      </c>
      <c r="F55" s="6" t="s">
        <v>309</v>
      </c>
      <c r="G55" s="6" t="s">
        <v>310</v>
      </c>
      <c r="H55" s="1" t="s">
        <v>311</v>
      </c>
      <c r="I55" s="7">
        <v>45934.56411765046</v>
      </c>
      <c r="J55" s="7">
        <v>45934.564216597224</v>
      </c>
      <c r="K55" s="1" t="s">
        <v>312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60.0" customHeight="1">
      <c r="A56" s="1" t="s">
        <v>313</v>
      </c>
      <c r="B56" s="1" t="s">
        <v>314</v>
      </c>
      <c r="C56" s="2" t="s">
        <v>315</v>
      </c>
      <c r="D56" s="5" t="str">
        <f>IMAGE("https://drive.google.com/uc?export=view&amp;id=1VjAC0AdCnHPoNKtlgn5-LaIXjnZWe4Af",2)</f>
        <v/>
      </c>
      <c r="E56" s="5" t="str">
        <f>IMAGE("https://drive.google.com/uc?export=view&amp;id=1VjAC0AdCnHPoNKtlgn5-LaIXjnZWe4Af",1)</f>
        <v/>
      </c>
      <c r="F56" s="6" t="s">
        <v>316</v>
      </c>
      <c r="G56" s="6" t="s">
        <v>317</v>
      </c>
      <c r="H56" s="1" t="s">
        <v>16</v>
      </c>
      <c r="I56" s="7">
        <v>45873.50981513889</v>
      </c>
      <c r="J56" s="7">
        <v>45890.467487974536</v>
      </c>
      <c r="K56" s="1" t="s">
        <v>17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60.0" customHeight="1">
      <c r="A57" s="1" t="s">
        <v>318</v>
      </c>
      <c r="B57" s="1" t="s">
        <v>319</v>
      </c>
      <c r="C57" s="2" t="s">
        <v>320</v>
      </c>
      <c r="D57" s="5" t="str">
        <f>IMAGE("https://drive.google.com/uc?export=view&amp;id=1kt90rcKPVx_NkNBIns6WN5FgDH2ROfaE",2)</f>
        <v/>
      </c>
      <c r="E57" s="5" t="str">
        <f>IMAGE("https://drive.google.com/uc?export=view&amp;id=1kt90rcKPVx_NkNBIns6WN5FgDH2ROfaE",1)</f>
        <v/>
      </c>
      <c r="F57" s="6" t="s">
        <v>321</v>
      </c>
      <c r="G57" s="6" t="s">
        <v>322</v>
      </c>
      <c r="H57" s="1" t="s">
        <v>23</v>
      </c>
      <c r="I57" s="7">
        <v>45898.58464094908</v>
      </c>
      <c r="J57" s="7">
        <v>45898.57760416667</v>
      </c>
      <c r="K57" s="1" t="s">
        <v>24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60.0" customHeight="1">
      <c r="A58" s="1" t="s">
        <v>323</v>
      </c>
      <c r="B58" s="1" t="s">
        <v>324</v>
      </c>
      <c r="C58" s="2" t="s">
        <v>325</v>
      </c>
      <c r="D58" s="5" t="str">
        <f>IMAGE("https://drive.google.com/uc?export=view&amp;id=1TyBIHf02M54FRa6ISKtiiyWhpjGPaXMj",2)</f>
        <v/>
      </c>
      <c r="E58" s="5" t="str">
        <f>IMAGE("https://drive.google.com/uc?export=view&amp;id=1TyBIHf02M54FRa6ISKtiiyWhpjGPaXMj",1)</f>
        <v/>
      </c>
      <c r="F58" s="6" t="s">
        <v>326</v>
      </c>
      <c r="G58" s="6" t="s">
        <v>327</v>
      </c>
      <c r="H58" s="1" t="s">
        <v>16</v>
      </c>
      <c r="I58" s="7">
        <v>45890.45862278935</v>
      </c>
      <c r="J58" s="7">
        <v>45888.481354166666</v>
      </c>
      <c r="K58" s="1" t="s">
        <v>17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60.0" customHeight="1">
      <c r="A59" s="1" t="s">
        <v>328</v>
      </c>
      <c r="B59" s="1" t="s">
        <v>329</v>
      </c>
      <c r="C59" s="2" t="s">
        <v>330</v>
      </c>
      <c r="D59" s="5" t="str">
        <f>IMAGE("https://drive.google.com/uc?export=view&amp;id=1-0oShcQJielRhKsh2N4HwN6rQhxiFHLD",2)</f>
        <v/>
      </c>
      <c r="E59" s="5" t="str">
        <f>IMAGE("https://drive.google.com/uc?export=view&amp;id=1-0oShcQJielRhKsh2N4HwN6rQhxiFHLD",1)</f>
        <v/>
      </c>
      <c r="F59" s="6" t="s">
        <v>331</v>
      </c>
      <c r="G59" s="6" t="s">
        <v>332</v>
      </c>
      <c r="H59" s="1" t="s">
        <v>23</v>
      </c>
      <c r="I59" s="7">
        <v>45898.58476046297</v>
      </c>
      <c r="J59" s="7">
        <v>45898.57760416667</v>
      </c>
      <c r="K59" s="1" t="s">
        <v>24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60.0" customHeight="1">
      <c r="A60" s="1" t="s">
        <v>333</v>
      </c>
      <c r="B60" s="1" t="s">
        <v>334</v>
      </c>
      <c r="C60" s="2" t="s">
        <v>335</v>
      </c>
      <c r="D60" s="5" t="str">
        <f>IMAGE("https://drive.google.com/uc?export=view&amp;id=1vGpAr8folAADqvgIOvLC6uXuJzzsGLwp",2)</f>
        <v/>
      </c>
      <c r="E60" s="5" t="str">
        <f>IMAGE("https://drive.google.com/uc?export=view&amp;id=1vGpAr8folAADqvgIOvLC6uXuJzzsGLwp",1)</f>
        <v/>
      </c>
      <c r="F60" s="6" t="s">
        <v>336</v>
      </c>
      <c r="G60" s="6" t="s">
        <v>337</v>
      </c>
      <c r="H60" s="1" t="s">
        <v>30</v>
      </c>
      <c r="I60" s="7">
        <v>45913.54304480324</v>
      </c>
      <c r="J60" s="7">
        <v>45897.56209490741</v>
      </c>
      <c r="K60" s="1" t="s">
        <v>31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60.0" customHeight="1">
      <c r="A61" s="1" t="s">
        <v>338</v>
      </c>
      <c r="B61" s="1" t="s">
        <v>339</v>
      </c>
      <c r="C61" s="2" t="s">
        <v>340</v>
      </c>
      <c r="D61" s="5" t="str">
        <f>IMAGE("https://drive.google.com/uc?export=view&amp;id=1z4-VTwy2be3l6cP9mf9BeMk4NWzCWXid",2)</f>
        <v/>
      </c>
      <c r="E61" s="5" t="str">
        <f>IMAGE("https://drive.google.com/uc?export=view&amp;id=1z4-VTwy2be3l6cP9mf9BeMk4NWzCWXid",1)</f>
        <v/>
      </c>
      <c r="F61" s="6" t="s">
        <v>341</v>
      </c>
      <c r="G61" s="6" t="s">
        <v>342</v>
      </c>
      <c r="H61" s="1" t="s">
        <v>16</v>
      </c>
      <c r="I61" s="7">
        <v>45890.457521550925</v>
      </c>
      <c r="J61" s="7">
        <v>45888.976365740746</v>
      </c>
      <c r="K61" s="1" t="s">
        <v>17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60.0" customHeight="1">
      <c r="A62" s="1" t="s">
        <v>343</v>
      </c>
      <c r="B62" s="1" t="s">
        <v>344</v>
      </c>
      <c r="C62" s="2" t="s">
        <v>345</v>
      </c>
      <c r="D62" s="5" t="str">
        <f>IMAGE("https://drive.google.com/uc?export=view&amp;id=1hpeeoOTOjFEpBsAKrjiGTfBas4kGmJU6",2)</f>
        <v/>
      </c>
      <c r="E62" s="5" t="str">
        <f>IMAGE("https://drive.google.com/uc?export=view&amp;id=1hpeeoOTOjFEpBsAKrjiGTfBas4kGmJU6",1)</f>
        <v/>
      </c>
      <c r="F62" s="6" t="s">
        <v>346</v>
      </c>
      <c r="G62" s="6" t="s">
        <v>347</v>
      </c>
      <c r="H62" s="1" t="s">
        <v>23</v>
      </c>
      <c r="I62" s="7">
        <v>45898.58449622685</v>
      </c>
      <c r="J62" s="7">
        <v>45898.57761574074</v>
      </c>
      <c r="K62" s="1" t="s">
        <v>24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60.0" customHeight="1">
      <c r="A63" s="1" t="s">
        <v>348</v>
      </c>
      <c r="B63" s="1" t="s">
        <v>349</v>
      </c>
      <c r="C63" s="2" t="s">
        <v>350</v>
      </c>
      <c r="D63" s="5" t="str">
        <f>IMAGE("https://drive.google.com/uc?export=view&amp;id=1QkpmkOPmAiRmVOSbunoPPiYX0jyO2RPa",2)</f>
        <v/>
      </c>
      <c r="E63" s="5" t="str">
        <f>IMAGE("https://drive.google.com/uc?export=view&amp;id=1QkpmkOPmAiRmVOSbunoPPiYX0jyO2RPa",1)</f>
        <v/>
      </c>
      <c r="F63" s="6" t="s">
        <v>351</v>
      </c>
      <c r="G63" s="6" t="s">
        <v>352</v>
      </c>
      <c r="H63" s="1" t="s">
        <v>353</v>
      </c>
      <c r="I63" s="7">
        <v>45828.543027673615</v>
      </c>
      <c r="J63" s="7">
        <v>45860.69803138889</v>
      </c>
      <c r="K63" s="1" t="s">
        <v>354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60.0" customHeight="1">
      <c r="A64" s="1" t="s">
        <v>355</v>
      </c>
      <c r="B64" s="1" t="s">
        <v>356</v>
      </c>
      <c r="C64" s="2" t="s">
        <v>357</v>
      </c>
      <c r="D64" s="5" t="str">
        <f>IMAGE("https://drive.google.com/uc?export=view&amp;id=16elZLizTz1pfOZuoEakDM1dlSfSyPua-",2)</f>
        <v/>
      </c>
      <c r="E64" s="5" t="str">
        <f>IMAGE("https://drive.google.com/uc?export=view&amp;id=16elZLizTz1pfOZuoEakDM1dlSfSyPua-",1)</f>
        <v/>
      </c>
      <c r="F64" s="6" t="s">
        <v>358</v>
      </c>
      <c r="G64" s="6" t="s">
        <v>359</v>
      </c>
      <c r="H64" s="1" t="s">
        <v>16</v>
      </c>
      <c r="I64" s="7">
        <v>45890.45766488426</v>
      </c>
      <c r="J64" s="7">
        <v>45890.581244710644</v>
      </c>
      <c r="K64" s="1" t="s">
        <v>17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60.0" customHeight="1">
      <c r="A65" s="1" t="s">
        <v>360</v>
      </c>
      <c r="B65" s="1" t="s">
        <v>361</v>
      </c>
      <c r="C65" s="2" t="s">
        <v>362</v>
      </c>
      <c r="D65" s="5" t="str">
        <f>IMAGE("https://drive.google.com/uc?export=view&amp;id=1tAnlONf9BP74DAGamxsGoZf1FB5DOLF6",2)</f>
        <v/>
      </c>
      <c r="E65" s="5" t="str">
        <f>IMAGE("https://drive.google.com/uc?export=view&amp;id=1tAnlONf9BP74DAGamxsGoZf1FB5DOLF6",1)</f>
        <v/>
      </c>
      <c r="F65" s="6" t="s">
        <v>363</v>
      </c>
      <c r="G65" s="6" t="s">
        <v>364</v>
      </c>
      <c r="H65" s="1" t="s">
        <v>23</v>
      </c>
      <c r="I65" s="7">
        <v>45898.58451443287</v>
      </c>
      <c r="J65" s="7">
        <v>45898.57761574074</v>
      </c>
      <c r="K65" s="1" t="s">
        <v>24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60.0" customHeight="1">
      <c r="A66" s="1" t="s">
        <v>365</v>
      </c>
      <c r="B66" s="1" t="s">
        <v>366</v>
      </c>
      <c r="C66" s="2" t="s">
        <v>367</v>
      </c>
      <c r="D66" s="5" t="str">
        <f>IMAGE("https://drive.google.com/uc?export=view&amp;id=1_aW1mp6N7bBZgv1HLqKe0tjotiEcJXkd",2)</f>
        <v/>
      </c>
      <c r="E66" s="5" t="str">
        <f>IMAGE("https://drive.google.com/uc?export=view&amp;id=1_aW1mp6N7bBZgv1HLqKe0tjotiEcJXkd",1)</f>
        <v/>
      </c>
      <c r="F66" s="6" t="s">
        <v>368</v>
      </c>
      <c r="G66" s="6" t="s">
        <v>369</v>
      </c>
      <c r="H66" s="1" t="s">
        <v>353</v>
      </c>
      <c r="I66" s="7">
        <v>45828.54317071759</v>
      </c>
      <c r="J66" s="7">
        <v>45860.69817283565</v>
      </c>
      <c r="K66" s="1" t="s">
        <v>354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60.0" customHeight="1">
      <c r="A67" s="1" t="s">
        <v>370</v>
      </c>
      <c r="B67" s="1" t="s">
        <v>371</v>
      </c>
      <c r="C67" s="2" t="s">
        <v>372</v>
      </c>
      <c r="D67" s="5" t="str">
        <f>IMAGE("https://drive.google.com/uc?export=view&amp;id=1Fe-WkWlpigZVNb8wM2e2yULS0Tk-TRmn",2)</f>
        <v/>
      </c>
      <c r="E67" s="5" t="str">
        <f>IMAGE("https://drive.google.com/uc?export=view&amp;id=1Fe-WkWlpigZVNb8wM2e2yULS0Tk-TRmn",1)</f>
        <v/>
      </c>
      <c r="F67" s="6" t="s">
        <v>373</v>
      </c>
      <c r="G67" s="6" t="s">
        <v>374</v>
      </c>
      <c r="H67" s="1" t="s">
        <v>353</v>
      </c>
      <c r="I67" s="7">
        <v>45792.39671199074</v>
      </c>
      <c r="J67" s="7">
        <v>45860.69836013889</v>
      </c>
      <c r="K67" s="1" t="s">
        <v>354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60.0" customHeight="1">
      <c r="A68" s="1" t="s">
        <v>375</v>
      </c>
      <c r="B68" s="1" t="s">
        <v>376</v>
      </c>
      <c r="C68" s="2" t="s">
        <v>377</v>
      </c>
      <c r="D68" s="5" t="str">
        <f>IMAGE("https://drive.google.com/uc?export=view&amp;id=1vvuHTup_BuRaf7gsHAeL_3Jc9ivf_TaJ",2)</f>
        <v/>
      </c>
      <c r="E68" s="5" t="str">
        <f>IMAGE("https://drive.google.com/uc?export=view&amp;id=1vvuHTup_BuRaf7gsHAeL_3Jc9ivf_TaJ",1)</f>
        <v/>
      </c>
      <c r="F68" s="6" t="s">
        <v>378</v>
      </c>
      <c r="G68" s="6" t="s">
        <v>379</v>
      </c>
      <c r="H68" s="1" t="s">
        <v>353</v>
      </c>
      <c r="I68" s="7">
        <v>45792.39687327546</v>
      </c>
      <c r="J68" s="7">
        <v>45860.698530752314</v>
      </c>
      <c r="K68" s="1" t="s">
        <v>354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60.0" customHeight="1">
      <c r="A69" s="1" t="s">
        <v>380</v>
      </c>
      <c r="B69" s="1" t="s">
        <v>381</v>
      </c>
      <c r="C69" s="2" t="s">
        <v>382</v>
      </c>
      <c r="D69" s="5" t="str">
        <f>IMAGE("https://drive.google.com/uc?export=view&amp;id=1YZEnGF7lAcpxPma8rLQQsxpNYQi21RgU",2)</f>
        <v/>
      </c>
      <c r="E69" s="5" t="str">
        <f>IMAGE("https://drive.google.com/uc?export=view&amp;id=1YZEnGF7lAcpxPma8rLQQsxpNYQi21RgU",1)</f>
        <v/>
      </c>
      <c r="F69" s="6" t="s">
        <v>383</v>
      </c>
      <c r="G69" s="6" t="s">
        <v>384</v>
      </c>
      <c r="H69" s="1" t="s">
        <v>353</v>
      </c>
      <c r="I69" s="7">
        <v>45890.42533238426</v>
      </c>
      <c r="J69" s="7">
        <v>45890.42548824074</v>
      </c>
      <c r="K69" s="1" t="s">
        <v>354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60.0" customHeight="1">
      <c r="A70" s="1" t="s">
        <v>385</v>
      </c>
      <c r="B70" s="1" t="s">
        <v>386</v>
      </c>
      <c r="C70" s="2" t="s">
        <v>387</v>
      </c>
      <c r="D70" s="5" t="str">
        <f>IMAGE("https://drive.google.com/uc?export=view&amp;id=18X1visHfCshDS4oBdseRaWg6JtWKBXoN",2)</f>
        <v/>
      </c>
      <c r="E70" s="5" t="str">
        <f>IMAGE("https://drive.google.com/uc?export=view&amp;id=18X1visHfCshDS4oBdseRaWg6JtWKBXoN",1)</f>
        <v/>
      </c>
      <c r="F70" s="6" t="s">
        <v>388</v>
      </c>
      <c r="G70" s="6" t="s">
        <v>389</v>
      </c>
      <c r="H70" s="1" t="s">
        <v>177</v>
      </c>
      <c r="I70" s="7">
        <v>45948.918635567126</v>
      </c>
      <c r="J70" s="7">
        <v>45948.92031430556</v>
      </c>
      <c r="K70" s="1" t="s">
        <v>178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60.0" customHeight="1">
      <c r="A71" s="1" t="s">
        <v>390</v>
      </c>
      <c r="B71" s="1" t="s">
        <v>391</v>
      </c>
      <c r="C71" s="2" t="s">
        <v>392</v>
      </c>
      <c r="D71" s="5" t="str">
        <f>IMAGE("https://drive.google.com/uc?export=view&amp;id=1zT-oiukZYjTcde1Rf2LRmyPq6FK0AQ5s",2)</f>
        <v/>
      </c>
      <c r="E71" s="5" t="str">
        <f>IMAGE("https://drive.google.com/uc?export=view&amp;id=1zT-oiukZYjTcde1Rf2LRmyPq6FK0AQ5s",1)</f>
        <v/>
      </c>
      <c r="F71" s="6" t="s">
        <v>393</v>
      </c>
      <c r="G71" s="6" t="s">
        <v>394</v>
      </c>
      <c r="H71" s="1" t="s">
        <v>114</v>
      </c>
      <c r="I71" s="7">
        <v>45828.54260472222</v>
      </c>
      <c r="J71" s="7">
        <v>45860.6912690162</v>
      </c>
      <c r="K71" s="1" t="s">
        <v>115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60.0" customHeight="1">
      <c r="A72" s="1" t="s">
        <v>395</v>
      </c>
      <c r="B72" s="1" t="s">
        <v>396</v>
      </c>
      <c r="C72" s="2" t="s">
        <v>397</v>
      </c>
      <c r="D72" s="5" t="str">
        <f>IMAGE("https://drive.google.com/uc?export=view&amp;id=15GvOUZ4Bi4TWr38FNDdVsxQBtndGsipV",2)</f>
        <v/>
      </c>
      <c r="E72" s="5" t="str">
        <f>IMAGE("https://drive.google.com/uc?export=view&amp;id=15GvOUZ4Bi4TWr38FNDdVsxQBtndGsipV",1)</f>
        <v/>
      </c>
      <c r="F72" s="6" t="s">
        <v>398</v>
      </c>
      <c r="G72" s="6" t="s">
        <v>399</v>
      </c>
      <c r="H72" s="1" t="s">
        <v>234</v>
      </c>
      <c r="I72" s="7">
        <v>46070.94961069444</v>
      </c>
      <c r="J72" s="7">
        <v>46070.70935185185</v>
      </c>
      <c r="K72" s="1" t="s">
        <v>235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60.0" customHeight="1">
      <c r="A73" s="1" t="s">
        <v>400</v>
      </c>
      <c r="B73" s="1" t="s">
        <v>401</v>
      </c>
      <c r="C73" s="2" t="s">
        <v>402</v>
      </c>
      <c r="D73" s="5" t="str">
        <f>IMAGE("https://drive.google.com/uc?export=view&amp;id=14VrXFU6vVr-R2_3xH8SGfoquzSb4Vghg",2)</f>
        <v/>
      </c>
      <c r="E73" s="5" t="str">
        <f>IMAGE("https://drive.google.com/uc?export=view&amp;id=14VrXFU6vVr-R2_3xH8SGfoquzSb4Vghg",1)</f>
        <v/>
      </c>
      <c r="F73" s="6" t="s">
        <v>403</v>
      </c>
      <c r="G73" s="6" t="s">
        <v>404</v>
      </c>
      <c r="H73" s="1" t="s">
        <v>405</v>
      </c>
      <c r="I73" s="7">
        <v>46067.8088265625</v>
      </c>
      <c r="J73" s="7">
        <v>46067.48248842593</v>
      </c>
      <c r="K73" s="1" t="s">
        <v>406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60.0" customHeight="1">
      <c r="A74" s="1" t="s">
        <v>407</v>
      </c>
      <c r="B74" s="1" t="s">
        <v>408</v>
      </c>
      <c r="C74" s="2" t="s">
        <v>409</v>
      </c>
      <c r="D74" s="5" t="str">
        <f>IMAGE("https://drive.google.com/uc?export=view&amp;id=1XOxEMCy0h-arfa37orUCuUqFEP62iOvu",2)</f>
        <v/>
      </c>
      <c r="E74" s="5" t="str">
        <f>IMAGE("https://drive.google.com/uc?export=view&amp;id=1XOxEMCy0h-arfa37orUCuUqFEP62iOvu",1)</f>
        <v/>
      </c>
      <c r="F74" s="6" t="s">
        <v>410</v>
      </c>
      <c r="G74" s="6" t="s">
        <v>411</v>
      </c>
      <c r="H74" s="1" t="s">
        <v>234</v>
      </c>
      <c r="I74" s="7">
        <v>46070.949904189816</v>
      </c>
      <c r="J74" s="7">
        <v>46070.70015046296</v>
      </c>
      <c r="K74" s="1" t="s">
        <v>235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60.0" customHeight="1">
      <c r="A75" s="1" t="s">
        <v>412</v>
      </c>
      <c r="B75" s="1" t="s">
        <v>413</v>
      </c>
      <c r="C75" s="2" t="s">
        <v>414</v>
      </c>
      <c r="D75" s="5" t="str">
        <f>IMAGE("https://drive.google.com/uc?export=view&amp;id=1FIENA6mdqSQ3iN5yN1agnIYhjmB5Q1jX",2)</f>
        <v/>
      </c>
      <c r="E75" s="5" t="str">
        <f>IMAGE("https://drive.google.com/uc?export=view&amp;id=1FIENA6mdqSQ3iN5yN1agnIYhjmB5Q1jX",1)</f>
        <v/>
      </c>
      <c r="F75" s="6" t="s">
        <v>415</v>
      </c>
      <c r="G75" s="6" t="s">
        <v>416</v>
      </c>
      <c r="H75" s="1" t="s">
        <v>272</v>
      </c>
      <c r="I75" s="7">
        <v>46078.462652835646</v>
      </c>
      <c r="J75" s="7">
        <v>46077.48087962963</v>
      </c>
      <c r="K75" s="1" t="s">
        <v>273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60.0" customHeight="1">
      <c r="A76" s="1" t="s">
        <v>417</v>
      </c>
      <c r="B76" s="1" t="s">
        <v>418</v>
      </c>
      <c r="C76" s="2" t="s">
        <v>419</v>
      </c>
      <c r="D76" s="5" t="str">
        <f>IMAGE("https://drive.google.com/uc?export=view&amp;id=1GqAF0Adp5yZK4Ii2DdHdyVwoOD1ndn0z",2)</f>
        <v/>
      </c>
      <c r="E76" s="5" t="str">
        <f>IMAGE("https://drive.google.com/uc?export=view&amp;id=1GqAF0Adp5yZK4Ii2DdHdyVwoOD1ndn0z",1)</f>
        <v/>
      </c>
      <c r="F76" s="6" t="s">
        <v>420</v>
      </c>
      <c r="G76" s="6" t="s">
        <v>421</v>
      </c>
      <c r="H76" s="1" t="s">
        <v>405</v>
      </c>
      <c r="I76" s="7">
        <v>46068.403301631944</v>
      </c>
      <c r="J76" s="7">
        <v>46068.39978009259</v>
      </c>
      <c r="K76" s="1" t="s">
        <v>406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60.0" customHeight="1">
      <c r="A77" s="1" t="s">
        <v>422</v>
      </c>
      <c r="B77" s="1" t="s">
        <v>423</v>
      </c>
      <c r="C77" s="2" t="s">
        <v>424</v>
      </c>
      <c r="D77" s="5" t="str">
        <f>IMAGE("https://drive.google.com/uc?export=view&amp;id=1Bti7nB2XFDmr2xSYnb4YNv-prdERORVD",2)</f>
        <v/>
      </c>
      <c r="E77" s="5" t="str">
        <f>IMAGE("https://drive.google.com/uc?export=view&amp;id=1Bti7nB2XFDmr2xSYnb4YNv-prdERORVD",1)</f>
        <v/>
      </c>
      <c r="F77" s="6" t="s">
        <v>425</v>
      </c>
      <c r="G77" s="6" t="s">
        <v>426</v>
      </c>
      <c r="H77" s="1" t="s">
        <v>427</v>
      </c>
      <c r="I77" s="7">
        <v>46069.91539258102</v>
      </c>
      <c r="J77" s="7">
        <v>46068.96797453704</v>
      </c>
      <c r="K77" s="1" t="s">
        <v>428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60.0" customHeight="1">
      <c r="A78" s="1" t="s">
        <v>429</v>
      </c>
      <c r="B78" s="1" t="s">
        <v>430</v>
      </c>
      <c r="C78" s="2" t="s">
        <v>431</v>
      </c>
      <c r="D78" s="8" t="str">
        <f>IMAGE("https://drive.google.com/uc?export=view&amp;id=1VMunxpPftCaE9Ekl8RReDHVf9ci66hae",2)</f>
        <v/>
      </c>
      <c r="E78" s="5" t="str">
        <f>IMAGE("https://drive.google.com/uc?export=view&amp;id=1VMunxpPftCaE9Ekl8RReDHVf9ci66hae",1)</f>
        <v/>
      </c>
      <c r="F78" s="6" t="s">
        <v>432</v>
      </c>
      <c r="G78" s="6" t="s">
        <v>433</v>
      </c>
      <c r="H78" s="1" t="s">
        <v>16</v>
      </c>
      <c r="I78" s="7">
        <v>46053.70408409722</v>
      </c>
      <c r="J78" s="7">
        <v>46053.65738425926</v>
      </c>
      <c r="K78" s="1" t="s">
        <v>57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60.0" customHeight="1">
      <c r="A79" s="1" t="s">
        <v>434</v>
      </c>
      <c r="B79" s="1" t="s">
        <v>435</v>
      </c>
      <c r="C79" s="2" t="s">
        <v>436</v>
      </c>
      <c r="D79" s="5" t="str">
        <f>IMAGE("https://drive.google.com/uc?export=view&amp;id=1fH5lTo8iQTQdmttNKacfHj-sFK1xaoMQ",2)</f>
        <v/>
      </c>
      <c r="E79" s="5" t="str">
        <f>IMAGE("https://drive.google.com/uc?export=view&amp;id=1fH5lTo8iQTQdmttNKacfHj-sFK1xaoMQ",1)</f>
        <v/>
      </c>
      <c r="F79" s="6" t="s">
        <v>437</v>
      </c>
      <c r="G79" s="6" t="s">
        <v>438</v>
      </c>
      <c r="H79" s="1" t="s">
        <v>128</v>
      </c>
      <c r="I79" s="7">
        <v>45932.5766053588</v>
      </c>
      <c r="J79" s="7">
        <v>45932.576671469906</v>
      </c>
      <c r="K79" s="1" t="s">
        <v>129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60.0" customHeight="1">
      <c r="A80" s="1" t="s">
        <v>439</v>
      </c>
      <c r="B80" s="1" t="s">
        <v>440</v>
      </c>
      <c r="C80" s="2" t="s">
        <v>441</v>
      </c>
      <c r="D80" s="5" t="str">
        <f>IMAGE("https://drive.google.com/uc?export=view&amp;id=1IHmZl_kTebtI7oEicq9itFBJVs_EqDYo",2)</f>
        <v/>
      </c>
      <c r="E80" s="5" t="str">
        <f>IMAGE("https://drive.google.com/uc?export=view&amp;id=1IHmZl_kTebtI7oEicq9itFBJVs_EqDYo",1)</f>
        <v/>
      </c>
      <c r="F80" s="6" t="s">
        <v>442</v>
      </c>
      <c r="G80" s="6" t="s">
        <v>443</v>
      </c>
      <c r="H80" s="1" t="s">
        <v>177</v>
      </c>
      <c r="I80" s="7">
        <v>45950.43521299769</v>
      </c>
      <c r="J80" s="7">
        <v>45966.78313038194</v>
      </c>
      <c r="K80" s="1" t="s">
        <v>178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60.0" customHeight="1">
      <c r="A81" s="1" t="s">
        <v>444</v>
      </c>
      <c r="B81" s="1" t="s">
        <v>445</v>
      </c>
      <c r="C81" s="2" t="s">
        <v>446</v>
      </c>
      <c r="D81" s="5" t="str">
        <f>IMAGE("https://drive.google.com/uc?export=view&amp;id=1YHcLb-tUPNvV17CjY-HKLHElz7gjNqks",2)</f>
        <v/>
      </c>
      <c r="E81" s="5" t="str">
        <f>IMAGE("https://drive.google.com/uc?export=view&amp;id=1YHcLb-tUPNvV17CjY-HKLHElz7gjNqks",1)</f>
        <v/>
      </c>
      <c r="F81" s="6" t="s">
        <v>447</v>
      </c>
      <c r="G81" s="6" t="s">
        <v>448</v>
      </c>
      <c r="H81" s="1" t="s">
        <v>449</v>
      </c>
      <c r="I81" s="7">
        <v>46009.404189849534</v>
      </c>
      <c r="J81" s="7">
        <v>46008.73945601852</v>
      </c>
      <c r="K81" s="1" t="s">
        <v>450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60.0" customHeight="1">
      <c r="A82" s="1" t="s">
        <v>451</v>
      </c>
      <c r="B82" s="1" t="s">
        <v>452</v>
      </c>
      <c r="C82" s="2" t="s">
        <v>453</v>
      </c>
      <c r="D82" s="5" t="str">
        <f>IMAGE("https://drive.google.com/uc?export=view&amp;id=1fIlrgssdiY6pA7QrIncwVBOdqfjeRpqh",2)</f>
        <v/>
      </c>
      <c r="E82" s="5" t="str">
        <f>IMAGE("https://drive.google.com/uc?export=view&amp;id=1fIlrgssdiY6pA7QrIncwVBOdqfjeRpqh",1)</f>
        <v/>
      </c>
      <c r="F82" s="6" t="s">
        <v>454</v>
      </c>
      <c r="G82" s="6" t="s">
        <v>455</v>
      </c>
      <c r="H82" s="1" t="s">
        <v>16</v>
      </c>
      <c r="I82" s="7">
        <v>45872.784213148145</v>
      </c>
      <c r="J82" s="7">
        <v>45890.467620358795</v>
      </c>
      <c r="K82" s="1" t="s">
        <v>17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60.0" customHeight="1">
      <c r="A83" s="1" t="s">
        <v>456</v>
      </c>
      <c r="B83" s="1" t="s">
        <v>457</v>
      </c>
      <c r="C83" s="2" t="s">
        <v>458</v>
      </c>
      <c r="D83" s="5" t="str">
        <f>IMAGE("https://drive.google.com/uc?export=view&amp;id=1N_E26X19ejvynRpq3glDfpcb3h9g2chz",2)</f>
        <v/>
      </c>
      <c r="E83" s="5" t="str">
        <f>IMAGE("https://drive.google.com/uc?export=view&amp;id=1N_E26X19ejvynRpq3glDfpcb3h9g2chz",1)</f>
        <v/>
      </c>
      <c r="F83" s="6" t="s">
        <v>459</v>
      </c>
      <c r="G83" s="6" t="s">
        <v>460</v>
      </c>
      <c r="H83" s="1" t="s">
        <v>23</v>
      </c>
      <c r="I83" s="7">
        <v>45898.58453766204</v>
      </c>
      <c r="J83" s="7">
        <v>45898.57761574074</v>
      </c>
      <c r="K83" s="1" t="s">
        <v>24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60.0" customHeight="1">
      <c r="A84" s="1" t="s">
        <v>461</v>
      </c>
      <c r="B84" s="1" t="s">
        <v>462</v>
      </c>
      <c r="C84" s="2" t="s">
        <v>463</v>
      </c>
      <c r="D84" s="5" t="str">
        <f>IMAGE("https://drive.google.com/uc?export=view&amp;id=1ev85ECDMBqHD0sQdUsIDPhP84SW9Vfjh",2)</f>
        <v/>
      </c>
      <c r="E84" s="5" t="str">
        <f>IMAGE("https://drive.google.com/uc?export=view&amp;id=1ev85ECDMBqHD0sQdUsIDPhP84SW9Vfjh",1)</f>
        <v/>
      </c>
      <c r="F84" s="6" t="s">
        <v>464</v>
      </c>
      <c r="G84" s="6" t="s">
        <v>465</v>
      </c>
      <c r="H84" s="1" t="s">
        <v>114</v>
      </c>
      <c r="I84" s="7">
        <v>45828.543324143524</v>
      </c>
      <c r="J84" s="7">
        <v>45857.04440251157</v>
      </c>
      <c r="K84" s="1" t="s">
        <v>115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60.0" customHeight="1">
      <c r="A85" s="1" t="s">
        <v>466</v>
      </c>
      <c r="B85" s="1" t="s">
        <v>467</v>
      </c>
      <c r="C85" s="2" t="s">
        <v>468</v>
      </c>
      <c r="D85" s="5" t="str">
        <f>IMAGE("https://drive.google.com/uc?export=view&amp;id=1qexK0cGykI3GmUPIpnkvcKqV4hxEdwcw",2)</f>
        <v/>
      </c>
      <c r="E85" s="5" t="str">
        <f>IMAGE("https://drive.google.com/uc?export=view&amp;id=1qexK0cGykI3GmUPIpnkvcKqV4hxEdwcw",1)</f>
        <v/>
      </c>
      <c r="F85" s="6" t="s">
        <v>469</v>
      </c>
      <c r="G85" s="6" t="s">
        <v>470</v>
      </c>
      <c r="H85" s="1" t="s">
        <v>405</v>
      </c>
      <c r="I85" s="7">
        <v>46081.67876363426</v>
      </c>
      <c r="J85" s="7">
        <v>46067.45453703703</v>
      </c>
      <c r="K85" s="1" t="s">
        <v>406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60.0" customHeight="1">
      <c r="A86" s="1" t="s">
        <v>471</v>
      </c>
      <c r="B86" s="1" t="s">
        <v>472</v>
      </c>
      <c r="C86" s="2" t="s">
        <v>473</v>
      </c>
      <c r="D86" s="5" t="str">
        <f>IMAGE("https://drive.google.com/uc?export=view&amp;id=1Za5odkQiLxBviMSpIoOKAlgGLO0ikYd8",2)</f>
        <v/>
      </c>
      <c r="E86" s="5" t="str">
        <f>IMAGE("https://drive.google.com/uc?export=view&amp;id=1Za5odkQiLxBviMSpIoOKAlgGLO0ikYd8",1)</f>
        <v/>
      </c>
      <c r="F86" s="6" t="s">
        <v>474</v>
      </c>
      <c r="G86" s="6" t="s">
        <v>475</v>
      </c>
      <c r="H86" s="1" t="s">
        <v>63</v>
      </c>
      <c r="I86" s="7">
        <v>45828.54260472222</v>
      </c>
      <c r="J86" s="7">
        <v>45860.691266747686</v>
      </c>
      <c r="K86" s="1" t="s">
        <v>64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60.0" customHeight="1">
      <c r="A87" s="1" t="s">
        <v>476</v>
      </c>
      <c r="B87" s="1" t="s">
        <v>477</v>
      </c>
      <c r="C87" s="2" t="s">
        <v>478</v>
      </c>
      <c r="D87" s="5" t="str">
        <f>IMAGE("https://drive.google.com/uc?export=view&amp;id=1JqEySoO5qEWJ18jVi2ibWIfK7GbGpD74",2)</f>
        <v/>
      </c>
      <c r="E87" s="5" t="str">
        <f>IMAGE("https://drive.google.com/uc?export=view&amp;id=1JqEySoO5qEWJ18jVi2ibWIfK7GbGpD74",1)</f>
        <v/>
      </c>
      <c r="F87" s="6" t="s">
        <v>479</v>
      </c>
      <c r="G87" s="6" t="s">
        <v>480</v>
      </c>
      <c r="H87" s="1" t="s">
        <v>16</v>
      </c>
      <c r="I87" s="7">
        <v>45878.44851526621</v>
      </c>
      <c r="J87" s="7">
        <v>45890.46776875</v>
      </c>
      <c r="K87" s="1" t="s">
        <v>17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60.0" customHeight="1">
      <c r="A88" s="1" t="s">
        <v>481</v>
      </c>
      <c r="B88" s="1" t="s">
        <v>482</v>
      </c>
      <c r="C88" s="2" t="s">
        <v>483</v>
      </c>
      <c r="D88" s="5" t="str">
        <f>IMAGE("https://drive.google.com/uc?export=view&amp;id=1KlAFQ-T-1RpNvLa-RZd83K-FoP3c0jgA",2)</f>
        <v/>
      </c>
      <c r="E88" s="5" t="str">
        <f>IMAGE("https://drive.google.com/uc?export=view&amp;id=1KlAFQ-T-1RpNvLa-RZd83K-FoP3c0jgA",1)</f>
        <v/>
      </c>
      <c r="F88" s="6" t="s">
        <v>484</v>
      </c>
      <c r="G88" s="6" t="s">
        <v>485</v>
      </c>
      <c r="H88" s="1" t="s">
        <v>23</v>
      </c>
      <c r="I88" s="7">
        <v>45898.58455271991</v>
      </c>
      <c r="J88" s="7">
        <v>45898.57761574074</v>
      </c>
      <c r="K88" s="1" t="s">
        <v>24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60.0" customHeight="1">
      <c r="A89" s="1" t="s">
        <v>486</v>
      </c>
      <c r="B89" s="1" t="s">
        <v>487</v>
      </c>
      <c r="C89" s="2" t="s">
        <v>488</v>
      </c>
      <c r="D89" s="5" t="str">
        <f>IMAGE("https://drive.google.com/uc?export=view&amp;id=13sxiXXf5eij7wF2AsNkelk36MrCrw6Uz",2)</f>
        <v/>
      </c>
      <c r="E89" s="5" t="str">
        <f>IMAGE("https://drive.google.com/uc?export=view&amp;id=13sxiXXf5eij7wF2AsNkelk36MrCrw6Uz",1)</f>
        <v/>
      </c>
      <c r="F89" s="6" t="s">
        <v>489</v>
      </c>
      <c r="G89" s="6" t="s">
        <v>490</v>
      </c>
      <c r="H89" s="1" t="s">
        <v>16</v>
      </c>
      <c r="I89" s="7">
        <v>45887.50074577546</v>
      </c>
      <c r="J89" s="7">
        <v>45890.47164640046</v>
      </c>
      <c r="K89" s="1" t="s">
        <v>17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60.0" customHeight="1">
      <c r="A90" s="1" t="s">
        <v>491</v>
      </c>
      <c r="B90" s="1" t="s">
        <v>492</v>
      </c>
      <c r="C90" s="2" t="s">
        <v>493</v>
      </c>
      <c r="D90" s="5" t="str">
        <f>IMAGE("https://drive.google.com/uc?export=view&amp;id=1-5DKMfHr-CgWPiHoUTLfNf_KaHHgOdkt",2)</f>
        <v/>
      </c>
      <c r="E90" s="5" t="str">
        <f>IMAGE("https://drive.google.com/uc?export=view&amp;id=1-5DKMfHr-CgWPiHoUTLfNf_KaHHgOdkt",1)</f>
        <v/>
      </c>
      <c r="F90" s="6" t="s">
        <v>494</v>
      </c>
      <c r="G90" s="6" t="s">
        <v>495</v>
      </c>
      <c r="H90" s="1" t="s">
        <v>23</v>
      </c>
      <c r="I90" s="7">
        <v>45898.58459824074</v>
      </c>
      <c r="J90" s="7">
        <v>45898.57761574074</v>
      </c>
      <c r="K90" s="1" t="s">
        <v>24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60.0" customHeight="1">
      <c r="A91" s="1" t="s">
        <v>496</v>
      </c>
      <c r="B91" s="1" t="s">
        <v>497</v>
      </c>
      <c r="C91" s="2" t="s">
        <v>498</v>
      </c>
      <c r="D91" s="5" t="str">
        <f>IMAGE("https://drive.google.com/uc?export=view&amp;id=15VjV26vUm3oPnEp3jDa1CJ3I54173NuR",2)</f>
        <v/>
      </c>
      <c r="E91" s="5" t="str">
        <f>IMAGE("https://drive.google.com/uc?export=view&amp;id=15VjV26vUm3oPnEp3jDa1CJ3I54173NuR",1)</f>
        <v/>
      </c>
      <c r="F91" s="6" t="s">
        <v>499</v>
      </c>
      <c r="G91" s="6" t="s">
        <v>500</v>
      </c>
      <c r="H91" s="1" t="s">
        <v>30</v>
      </c>
      <c r="I91" s="7">
        <v>45897.453156261574</v>
      </c>
      <c r="J91" s="7">
        <v>46048.684913703706</v>
      </c>
      <c r="K91" s="1" t="s">
        <v>31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60.0" customHeight="1">
      <c r="A92" s="1" t="s">
        <v>501</v>
      </c>
      <c r="B92" s="1" t="s">
        <v>502</v>
      </c>
      <c r="C92" s="2" t="s">
        <v>503</v>
      </c>
      <c r="D92" s="5" t="str">
        <f>IMAGE("https://drive.google.com/uc?export=view&amp;id=1VdNLnqQX2Yt0E7hrLKj0GRv3SM5gQIOM",2)</f>
        <v/>
      </c>
      <c r="E92" s="5" t="str">
        <f>IMAGE("https://drive.google.com/uc?export=view&amp;id=1VdNLnqQX2Yt0E7hrLKj0GRv3SM5gQIOM",1)</f>
        <v/>
      </c>
      <c r="F92" s="6" t="s">
        <v>504</v>
      </c>
      <c r="G92" s="6" t="s">
        <v>505</v>
      </c>
      <c r="H92" s="1" t="s">
        <v>30</v>
      </c>
      <c r="I92" s="7">
        <v>45897.45191621528</v>
      </c>
      <c r="J92" s="7">
        <v>45913.54818888889</v>
      </c>
      <c r="K92" s="1" t="s">
        <v>31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60.0" customHeight="1">
      <c r="A93" s="1" t="s">
        <v>506</v>
      </c>
      <c r="B93" s="1" t="s">
        <v>507</v>
      </c>
      <c r="C93" s="2" t="s">
        <v>508</v>
      </c>
      <c r="D93" s="5" t="str">
        <f>IMAGE("https://drive.google.com/uc?export=view&amp;id=1et0avRcP668sbWtI7Jaoj045xjJLHun5",2)</f>
        <v/>
      </c>
      <c r="E93" s="5" t="str">
        <f>IMAGE("https://drive.google.com/uc?export=view&amp;id=1et0avRcP668sbWtI7Jaoj045xjJLHun5",1)</f>
        <v/>
      </c>
      <c r="F93" s="6" t="s">
        <v>509</v>
      </c>
      <c r="G93" s="6" t="s">
        <v>510</v>
      </c>
      <c r="H93" s="1" t="s">
        <v>30</v>
      </c>
      <c r="I93" s="7">
        <v>45897.452783182875</v>
      </c>
      <c r="J93" s="7">
        <v>46048.68584200232</v>
      </c>
      <c r="K93" s="1" t="s">
        <v>31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60.0" customHeight="1">
      <c r="A94" s="1" t="s">
        <v>511</v>
      </c>
      <c r="B94" s="1" t="s">
        <v>512</v>
      </c>
      <c r="C94" s="2" t="s">
        <v>513</v>
      </c>
      <c r="D94" s="5" t="str">
        <f>IMAGE("https://drive.google.com/uc?export=view&amp;id=1hpbppopzEPF9cQvdrsCqVFNqLZDnFAuN",2)</f>
        <v/>
      </c>
      <c r="E94" s="5" t="str">
        <f>IMAGE("https://drive.google.com/uc?export=view&amp;id=1hpbppopzEPF9cQvdrsCqVFNqLZDnFAuN",1)</f>
        <v/>
      </c>
      <c r="F94" s="6" t="s">
        <v>514</v>
      </c>
      <c r="G94" s="6" t="s">
        <v>515</v>
      </c>
      <c r="H94" s="1" t="s">
        <v>30</v>
      </c>
      <c r="I94" s="7">
        <v>45897.4522337963</v>
      </c>
      <c r="J94" s="7">
        <v>45913.54838262731</v>
      </c>
      <c r="K94" s="1" t="s">
        <v>31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60.0" customHeight="1">
      <c r="A95" s="1" t="s">
        <v>516</v>
      </c>
      <c r="B95" s="1" t="s">
        <v>517</v>
      </c>
      <c r="C95" s="2" t="s">
        <v>518</v>
      </c>
      <c r="D95" s="5" t="str">
        <f>IMAGE("https://drive.google.com/uc?export=view&amp;id=13DiEI7ZQRCkbb_dPXl9OQxL6kdL9xeu_",2)</f>
        <v/>
      </c>
      <c r="E95" s="5" t="str">
        <f>IMAGE("https://drive.google.com/uc?export=view&amp;id=13DiEI7ZQRCkbb_dPXl9OQxL6kdL9xeu_",1)</f>
        <v/>
      </c>
      <c r="F95" s="6" t="s">
        <v>519</v>
      </c>
      <c r="G95" s="6" t="s">
        <v>520</v>
      </c>
      <c r="H95" s="1" t="s">
        <v>30</v>
      </c>
      <c r="I95" s="7">
        <v>45897.45242621528</v>
      </c>
      <c r="J95" s="7">
        <v>45913.54858304399</v>
      </c>
      <c r="K95" s="1" t="s">
        <v>31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60.0" customHeight="1">
      <c r="A96" s="1" t="s">
        <v>521</v>
      </c>
      <c r="B96" s="1" t="s">
        <v>522</v>
      </c>
      <c r="C96" s="2" t="s">
        <v>523</v>
      </c>
      <c r="D96" s="5" t="str">
        <f>IMAGE("https://drive.google.com/uc?export=view&amp;id=1efIV6LF-nLyKBtuLpG2aQD_CenH20xVF",2)</f>
        <v/>
      </c>
      <c r="E96" s="5" t="str">
        <f>IMAGE("https://drive.google.com/uc?export=view&amp;id=1efIV6LF-nLyKBtuLpG2aQD_CenH20xVF",1)</f>
        <v/>
      </c>
      <c r="F96" s="6" t="s">
        <v>524</v>
      </c>
      <c r="G96" s="6" t="s">
        <v>525</v>
      </c>
      <c r="H96" s="1" t="s">
        <v>30</v>
      </c>
      <c r="I96" s="7">
        <v>45897.45297675926</v>
      </c>
      <c r="J96" s="7">
        <v>46048.69099962963</v>
      </c>
      <c r="K96" s="1" t="s">
        <v>31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60.0" customHeight="1">
      <c r="A97" s="1" t="s">
        <v>526</v>
      </c>
      <c r="B97" s="1" t="s">
        <v>527</v>
      </c>
      <c r="C97" s="2" t="s">
        <v>528</v>
      </c>
      <c r="D97" s="5" t="str">
        <f>IMAGE("https://drive.google.com/uc?export=view&amp;id=1wZbCnvPBMIcf3vZPcnJYCKqskwjGi4d2",2)</f>
        <v/>
      </c>
      <c r="E97" s="5" t="str">
        <f>IMAGE("https://drive.google.com/uc?export=view&amp;id=1wZbCnvPBMIcf3vZPcnJYCKqskwjGi4d2",1)</f>
        <v/>
      </c>
      <c r="F97" s="6" t="s">
        <v>529</v>
      </c>
      <c r="G97" s="6" t="s">
        <v>530</v>
      </c>
      <c r="H97" s="1" t="s">
        <v>128</v>
      </c>
      <c r="I97" s="7">
        <v>45869.53955991898</v>
      </c>
      <c r="J97" s="7">
        <v>45869.53965024305</v>
      </c>
      <c r="K97" s="1" t="s">
        <v>129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60.0" customHeight="1">
      <c r="A98" s="1" t="s">
        <v>531</v>
      </c>
      <c r="B98" s="1" t="s">
        <v>532</v>
      </c>
      <c r="C98" s="2" t="s">
        <v>533</v>
      </c>
      <c r="D98" s="5" t="str">
        <f>IMAGE("https://drive.google.com/uc?export=view&amp;id=19nOfGDuFmDK9Xwq8xShreFUyvOnzZIki",2)</f>
        <v/>
      </c>
      <c r="E98" s="5" t="str">
        <f>IMAGE("https://drive.google.com/uc?export=view&amp;id=19nOfGDuFmDK9Xwq8xShreFUyvOnzZIki",1)</f>
        <v/>
      </c>
      <c r="F98" s="6" t="s">
        <v>534</v>
      </c>
      <c r="G98" s="6" t="s">
        <v>535</v>
      </c>
      <c r="H98" s="1" t="s">
        <v>128</v>
      </c>
      <c r="I98" s="7">
        <v>45869.53961525463</v>
      </c>
      <c r="J98" s="7">
        <v>45869.53984244213</v>
      </c>
      <c r="K98" s="1" t="s">
        <v>129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60.0" customHeight="1">
      <c r="A99" s="1" t="s">
        <v>536</v>
      </c>
      <c r="B99" s="1" t="s">
        <v>537</v>
      </c>
      <c r="C99" s="2" t="s">
        <v>538</v>
      </c>
      <c r="D99" s="5" t="str">
        <f>IMAGE("https://drive.google.com/uc?export=view&amp;id=1u8eeOgAzxOAq_TiIKOxS3ycqB4mIpSyH",2)</f>
        <v/>
      </c>
      <c r="E99" s="5" t="str">
        <f>IMAGE("https://drive.google.com/uc?export=view&amp;id=1u8eeOgAzxOAq_TiIKOxS3ycqB4mIpSyH",1)</f>
        <v/>
      </c>
      <c r="F99" s="6" t="s">
        <v>539</v>
      </c>
      <c r="G99" s="6" t="s">
        <v>540</v>
      </c>
      <c r="H99" s="1" t="s">
        <v>16</v>
      </c>
      <c r="I99" s="7">
        <v>45890.72451515046</v>
      </c>
      <c r="J99" s="7">
        <v>45890.75487704861</v>
      </c>
      <c r="K99" s="1" t="s">
        <v>17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60.0" customHeight="1">
      <c r="A100" s="1" t="s">
        <v>541</v>
      </c>
      <c r="B100" s="1" t="s">
        <v>542</v>
      </c>
      <c r="C100" s="2" t="s">
        <v>543</v>
      </c>
      <c r="D100" s="5" t="str">
        <f>IMAGE("https://drive.google.com/uc?export=view&amp;id=1jQx50PaFRFZcitsm87LjbzGMSyC0-uPC",2)</f>
        <v/>
      </c>
      <c r="E100" s="5" t="str">
        <f>IMAGE("https://drive.google.com/uc?export=view&amp;id=1jQx50PaFRFZcitsm87LjbzGMSyC0-uPC",1)</f>
        <v/>
      </c>
      <c r="F100" s="6" t="s">
        <v>544</v>
      </c>
      <c r="G100" s="6" t="s">
        <v>545</v>
      </c>
      <c r="H100" s="1" t="s">
        <v>23</v>
      </c>
      <c r="I100" s="7">
        <v>45898.58459824074</v>
      </c>
      <c r="J100" s="7">
        <v>45898.57761574074</v>
      </c>
      <c r="K100" s="1" t="s">
        <v>24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60.0" customHeight="1">
      <c r="A101" s="1" t="s">
        <v>546</v>
      </c>
      <c r="B101" s="1" t="s">
        <v>547</v>
      </c>
      <c r="C101" s="2" t="s">
        <v>548</v>
      </c>
      <c r="D101" s="5" t="str">
        <f>IMAGE("https://drive.google.com/uc?export=view&amp;id=1Esx0FXr0ulpGFH3FMwn1Q6e6JgMq0WLD",2)</f>
        <v/>
      </c>
      <c r="E101" s="5" t="str">
        <f>IMAGE("https://drive.google.com/uc?export=view&amp;id=1Esx0FXr0ulpGFH3FMwn1Q6e6JgMq0WLD",1)</f>
        <v/>
      </c>
      <c r="F101" s="6" t="s">
        <v>549</v>
      </c>
      <c r="G101" s="6" t="s">
        <v>550</v>
      </c>
      <c r="H101" s="1" t="s">
        <v>30</v>
      </c>
      <c r="I101" s="7">
        <v>45913.54319305556</v>
      </c>
      <c r="J101" s="7">
        <v>45913.4972337963</v>
      </c>
      <c r="K101" s="1" t="s">
        <v>31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60.0" customHeight="1">
      <c r="A102" s="1" t="s">
        <v>551</v>
      </c>
      <c r="B102" s="1" t="s">
        <v>552</v>
      </c>
      <c r="C102" s="2" t="s">
        <v>553</v>
      </c>
      <c r="D102" s="5" t="str">
        <f>IMAGE("https://drive.google.com/uc?export=view&amp;id=1qI8ZZYKrixaVPk63HhEJhq3hIdaPkDcN",2)</f>
        <v/>
      </c>
      <c r="E102" s="5" t="str">
        <f>IMAGE("https://drive.google.com/uc?export=view&amp;id=1qI8ZZYKrixaVPk63HhEJhq3hIdaPkDcN",1)</f>
        <v/>
      </c>
      <c r="F102" s="6" t="s">
        <v>554</v>
      </c>
      <c r="G102" s="6" t="s">
        <v>555</v>
      </c>
      <c r="H102" s="1" t="s">
        <v>128</v>
      </c>
      <c r="I102" s="7">
        <v>45932.591319224535</v>
      </c>
      <c r="J102" s="7">
        <v>45932.59142152777</v>
      </c>
      <c r="K102" s="1" t="s">
        <v>129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60.0" customHeight="1">
      <c r="A103" s="1" t="s">
        <v>556</v>
      </c>
      <c r="B103" s="1" t="s">
        <v>557</v>
      </c>
      <c r="C103" s="2" t="s">
        <v>558</v>
      </c>
      <c r="D103" s="5" t="str">
        <f>IMAGE("https://drive.google.com/uc?export=view&amp;id=10YkEA0AMW-vXYWHBTdRZrONAiZ6BdShY",2)</f>
        <v/>
      </c>
      <c r="E103" s="5" t="str">
        <f>IMAGE("https://drive.google.com/uc?export=view&amp;id=10YkEA0AMW-vXYWHBTdRZrONAiZ6BdShY",1)</f>
        <v/>
      </c>
      <c r="F103" s="6" t="s">
        <v>559</v>
      </c>
      <c r="G103" s="6" t="s">
        <v>560</v>
      </c>
      <c r="H103" s="1" t="s">
        <v>128</v>
      </c>
      <c r="I103" s="7">
        <v>45869.56767107639</v>
      </c>
      <c r="J103" s="7">
        <v>45869.56898546296</v>
      </c>
      <c r="K103" s="1" t="s">
        <v>129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60.0" customHeight="1">
      <c r="A104" s="1" t="s">
        <v>561</v>
      </c>
      <c r="B104" s="1" t="s">
        <v>562</v>
      </c>
      <c r="C104" s="2" t="s">
        <v>563</v>
      </c>
      <c r="D104" s="5" t="str">
        <f>IMAGE("https://drive.google.com/uc?export=view&amp;id=1B0fHhisiOFjEHImfKwATyLylo7HDmroM",2)</f>
        <v/>
      </c>
      <c r="E104" s="5" t="str">
        <f>IMAGE("https://drive.google.com/uc?export=view&amp;id=1B0fHhisiOFjEHImfKwATyLylo7HDmroM",1)</f>
        <v/>
      </c>
      <c r="F104" s="6" t="s">
        <v>564</v>
      </c>
      <c r="G104" s="6" t="s">
        <v>565</v>
      </c>
      <c r="H104" s="1" t="s">
        <v>128</v>
      </c>
      <c r="I104" s="7">
        <v>45869.571808252316</v>
      </c>
      <c r="J104" s="7">
        <v>45869.57225891204</v>
      </c>
      <c r="K104" s="1" t="s">
        <v>129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60.0" customHeight="1">
      <c r="A105" s="1" t="s">
        <v>566</v>
      </c>
      <c r="B105" s="1" t="s">
        <v>567</v>
      </c>
      <c r="C105" s="2" t="s">
        <v>568</v>
      </c>
      <c r="D105" s="5" t="str">
        <f>IMAGE("https://drive.google.com/uc?export=view&amp;id=1eQPLRdNbeEyskYfewaGvyQyADp_IW57c",2)</f>
        <v/>
      </c>
      <c r="E105" s="5" t="str">
        <f>IMAGE("https://drive.google.com/uc?export=view&amp;id=1eQPLRdNbeEyskYfewaGvyQyADp_IW57c",1)</f>
        <v/>
      </c>
      <c r="F105" s="6" t="s">
        <v>569</v>
      </c>
      <c r="G105" s="6" t="s">
        <v>570</v>
      </c>
      <c r="H105" s="1" t="s">
        <v>16</v>
      </c>
      <c r="I105" s="7">
        <v>45869.46709024305</v>
      </c>
      <c r="J105" s="7">
        <v>45869.46716076389</v>
      </c>
      <c r="K105" s="1" t="s">
        <v>57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60.0" customHeight="1">
      <c r="A106" s="1" t="s">
        <v>571</v>
      </c>
      <c r="B106" s="1" t="s">
        <v>572</v>
      </c>
      <c r="C106" s="2" t="s">
        <v>573</v>
      </c>
      <c r="D106" s="5" t="str">
        <f>IMAGE("https://drive.google.com/uc?export=view&amp;id=1GgRxYqiueAAC6zQI8Nn2WLtLlEvZn69C",2)</f>
        <v/>
      </c>
      <c r="E106" s="5" t="str">
        <f>IMAGE("https://drive.google.com/uc?export=view&amp;id=1GgRxYqiueAAC6zQI8Nn2WLtLlEvZn69C",1)</f>
        <v/>
      </c>
      <c r="F106" s="6" t="s">
        <v>574</v>
      </c>
      <c r="G106" s="6" t="s">
        <v>575</v>
      </c>
      <c r="H106" s="1" t="s">
        <v>128</v>
      </c>
      <c r="I106" s="7">
        <v>45792.39733940973</v>
      </c>
      <c r="J106" s="7">
        <v>45860.698882013894</v>
      </c>
      <c r="K106" s="1" t="s">
        <v>129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60.0" customHeight="1">
      <c r="A107" s="1" t="s">
        <v>576</v>
      </c>
      <c r="B107" s="1" t="s">
        <v>577</v>
      </c>
      <c r="C107" s="2" t="s">
        <v>578</v>
      </c>
      <c r="D107" s="5" t="str">
        <f>IMAGE("https://drive.google.com/uc?export=view&amp;id=1EiVAkMAIXQI2IQTLNItA1dcYF35zt2bq",2)</f>
        <v/>
      </c>
      <c r="E107" s="5" t="str">
        <f>IMAGE("https://drive.google.com/uc?export=view&amp;id=1EiVAkMAIXQI2IQTLNItA1dcYF35zt2bq",1)</f>
        <v/>
      </c>
      <c r="F107" s="6" t="s">
        <v>579</v>
      </c>
      <c r="G107" s="6" t="s">
        <v>580</v>
      </c>
      <c r="H107" s="1" t="s">
        <v>63</v>
      </c>
      <c r="I107" s="7">
        <v>45828.54260472222</v>
      </c>
      <c r="J107" s="7">
        <v>45860.69128197916</v>
      </c>
      <c r="K107" s="1" t="s">
        <v>64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60.0" customHeight="1">
      <c r="A108" s="1" t="s">
        <v>581</v>
      </c>
      <c r="B108" s="1" t="s">
        <v>582</v>
      </c>
      <c r="C108" s="2" t="s">
        <v>583</v>
      </c>
      <c r="D108" s="5" t="str">
        <f>IMAGE("https://drive.google.com/uc?export=view&amp;id=146RhHNvaAGlebMp-dr7VpnIvFNIS3Hv7",2)</f>
        <v/>
      </c>
      <c r="E108" s="5" t="str">
        <f>IMAGE("https://drive.google.com/uc?export=view&amp;id=146RhHNvaAGlebMp-dr7VpnIvFNIS3Hv7",1)</f>
        <v/>
      </c>
      <c r="F108" s="6" t="s">
        <v>584</v>
      </c>
      <c r="G108" s="6" t="s">
        <v>585</v>
      </c>
      <c r="H108" s="1" t="s">
        <v>128</v>
      </c>
      <c r="I108" s="7">
        <v>45792.39750172454</v>
      </c>
      <c r="J108" s="7">
        <v>45860.6990565625</v>
      </c>
      <c r="K108" s="1" t="s">
        <v>129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60.0" customHeight="1">
      <c r="A109" s="1" t="s">
        <v>586</v>
      </c>
      <c r="B109" s="1" t="s">
        <v>587</v>
      </c>
      <c r="C109" s="2" t="s">
        <v>588</v>
      </c>
      <c r="D109" s="5" t="str">
        <f>IMAGE("https://drive.google.com/uc?export=view&amp;id=1vvInCtw174TbSwqXWMGGWgM-tpheRIhI",2)</f>
        <v/>
      </c>
      <c r="E109" s="5" t="str">
        <f>IMAGE("https://drive.google.com/uc?export=view&amp;id=1vvInCtw174TbSwqXWMGGWgM-tpheRIhI",1)</f>
        <v/>
      </c>
      <c r="F109" s="6" t="s">
        <v>589</v>
      </c>
      <c r="G109" s="6" t="s">
        <v>590</v>
      </c>
      <c r="H109" s="1" t="s">
        <v>30</v>
      </c>
      <c r="I109" s="7">
        <v>45913.54418537037</v>
      </c>
      <c r="J109" s="7">
        <v>45904.600740740745</v>
      </c>
      <c r="K109" s="1" t="s">
        <v>31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60.0" customHeight="1">
      <c r="A110" s="1" t="s">
        <v>591</v>
      </c>
      <c r="B110" s="1" t="s">
        <v>592</v>
      </c>
      <c r="C110" s="2" t="s">
        <v>593</v>
      </c>
      <c r="D110" s="5" t="str">
        <f>IMAGE("https://drive.google.com/uc?export=view&amp;id=1Q5lHbNp5VvtjlL_CJSko4kU5VQd6BQyk",2)</f>
        <v/>
      </c>
      <c r="E110" s="5" t="str">
        <f>IMAGE("https://drive.google.com/uc?export=view&amp;id=1Q5lHbNp5VvtjlL_CJSko4kU5VQd6BQyk",1)</f>
        <v/>
      </c>
      <c r="F110" s="6" t="s">
        <v>594</v>
      </c>
      <c r="G110" s="6" t="s">
        <v>595</v>
      </c>
      <c r="H110" s="1" t="s">
        <v>30</v>
      </c>
      <c r="I110" s="7">
        <v>45913.54333299768</v>
      </c>
      <c r="J110" s="7">
        <v>45904.57424768519</v>
      </c>
      <c r="K110" s="1" t="s">
        <v>31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60.0" customHeight="1">
      <c r="A111" s="1" t="s">
        <v>596</v>
      </c>
      <c r="B111" s="1" t="s">
        <v>597</v>
      </c>
      <c r="C111" s="2" t="s">
        <v>598</v>
      </c>
      <c r="D111" s="5" t="str">
        <f>IMAGE("https://drive.google.com/uc?export=view&amp;id=1fCP7ed86NksYW89Aaod3xP8Mqm6x-YEQ",2)</f>
        <v/>
      </c>
      <c r="E111" s="5" t="str">
        <f>IMAGE("https://drive.google.com/uc?export=view&amp;id=1fCP7ed86NksYW89Aaod3xP8Mqm6x-YEQ",1)</f>
        <v/>
      </c>
      <c r="F111" s="6" t="s">
        <v>599</v>
      </c>
      <c r="G111" s="6" t="s">
        <v>600</v>
      </c>
      <c r="H111" s="1" t="s">
        <v>272</v>
      </c>
      <c r="I111" s="7">
        <v>46078.462819085646</v>
      </c>
      <c r="J111" s="7">
        <v>46076.445</v>
      </c>
      <c r="K111" s="1" t="s">
        <v>273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60.0" customHeight="1">
      <c r="A112" s="1" t="s">
        <v>601</v>
      </c>
      <c r="B112" s="1" t="s">
        <v>602</v>
      </c>
      <c r="C112" s="2" t="s">
        <v>603</v>
      </c>
      <c r="D112" s="5" t="str">
        <f>IMAGE("https://drive.google.com/uc?export=view&amp;id=1-PHcn-4lDltgluFooCHcEKIHODRrNz-n",2)</f>
        <v/>
      </c>
      <c r="E112" s="5" t="str">
        <f>IMAGE("https://drive.google.com/uc?export=view&amp;id=1-PHcn-4lDltgluFooCHcEKIHODRrNz-n",1)</f>
        <v/>
      </c>
      <c r="F112" s="6" t="s">
        <v>604</v>
      </c>
      <c r="G112" s="6" t="s">
        <v>605</v>
      </c>
      <c r="H112" s="1" t="s">
        <v>16</v>
      </c>
      <c r="I112" s="7">
        <v>45873.50995368056</v>
      </c>
      <c r="J112" s="7">
        <v>45890.46804896991</v>
      </c>
      <c r="K112" s="1" t="s">
        <v>17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60.0" customHeight="1">
      <c r="A113" s="1" t="s">
        <v>606</v>
      </c>
      <c r="B113" s="1" t="s">
        <v>607</v>
      </c>
      <c r="C113" s="2" t="s">
        <v>608</v>
      </c>
      <c r="D113" s="5" t="str">
        <f>IMAGE("https://drive.google.com/uc?export=view&amp;id=1BupralgPAsodhy9BIo2L19HbQn44gy_6",2)</f>
        <v/>
      </c>
      <c r="E113" s="5" t="str">
        <f>IMAGE("https://drive.google.com/uc?export=view&amp;id=1BupralgPAsodhy9BIo2L19HbQn44gy_6",1)</f>
        <v/>
      </c>
      <c r="F113" s="6" t="s">
        <v>609</v>
      </c>
      <c r="G113" s="6" t="s">
        <v>610</v>
      </c>
      <c r="H113" s="1" t="s">
        <v>23</v>
      </c>
      <c r="I113" s="7">
        <v>45898.58459824074</v>
      </c>
      <c r="J113" s="7">
        <v>45898.57761574074</v>
      </c>
      <c r="K113" s="1" t="s">
        <v>24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60.0" customHeight="1">
      <c r="A114" s="1" t="s">
        <v>611</v>
      </c>
      <c r="B114" s="1" t="s">
        <v>612</v>
      </c>
      <c r="C114" s="2" t="s">
        <v>613</v>
      </c>
      <c r="D114" s="5" t="str">
        <f>IMAGE("https://drive.google.com/uc?export=view&amp;id=1Xvh-dkemVtMwEypjPjGAk04B3ECuV66-",2)</f>
        <v/>
      </c>
      <c r="E114" s="5" t="str">
        <f>IMAGE("https://drive.google.com/uc?export=view&amp;id=1Xvh-dkemVtMwEypjPjGAk04B3ECuV66-",1)</f>
        <v/>
      </c>
      <c r="F114" s="6" t="s">
        <v>614</v>
      </c>
      <c r="G114" s="6" t="s">
        <v>615</v>
      </c>
      <c r="H114" s="1" t="s">
        <v>449</v>
      </c>
      <c r="I114" s="7">
        <v>46009.493739363425</v>
      </c>
      <c r="J114" s="7">
        <v>46009.49334490741</v>
      </c>
      <c r="K114" s="1" t="s">
        <v>450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60.0" customHeight="1">
      <c r="A115" s="1" t="s">
        <v>616</v>
      </c>
      <c r="B115" s="1" t="s">
        <v>617</v>
      </c>
      <c r="C115" s="2" t="s">
        <v>618</v>
      </c>
      <c r="D115" s="5" t="str">
        <f>IMAGE("https://drive.google.com/uc?export=view&amp;id=1MkxHzttBSogPmhWwZ2gsY8xuqOOhLPcT",2)</f>
        <v/>
      </c>
      <c r="E115" s="5" t="str">
        <f>IMAGE("https://drive.google.com/uc?export=view&amp;id=1MkxHzttBSogPmhWwZ2gsY8xuqOOhLPcT",1)</f>
        <v/>
      </c>
      <c r="F115" s="6" t="s">
        <v>619</v>
      </c>
      <c r="G115" s="6" t="s">
        <v>620</v>
      </c>
      <c r="H115" s="1" t="s">
        <v>128</v>
      </c>
      <c r="I115" s="7">
        <v>46017.5102490162</v>
      </c>
      <c r="J115" s="7">
        <v>46010.517164351855</v>
      </c>
      <c r="K115" s="1" t="s">
        <v>129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60.0" customHeight="1">
      <c r="A116" s="1" t="s">
        <v>621</v>
      </c>
      <c r="B116" s="1" t="s">
        <v>622</v>
      </c>
      <c r="C116" s="2" t="s">
        <v>623</v>
      </c>
      <c r="D116" s="5" t="str">
        <f>IMAGE("https://drive.google.com/uc?export=view&amp;id=1jkk_i4rJpKfgLzrEJO-HAP-QfWAut0ku",2)</f>
        <v/>
      </c>
      <c r="E116" s="5" t="str">
        <f>IMAGE("https://drive.google.com/uc?export=view&amp;id=1jkk_i4rJpKfgLzrEJO-HAP-QfWAut0ku",1)</f>
        <v/>
      </c>
      <c r="F116" s="6" t="s">
        <v>624</v>
      </c>
      <c r="G116" s="6" t="s">
        <v>625</v>
      </c>
      <c r="H116" s="1" t="s">
        <v>92</v>
      </c>
      <c r="I116" s="7">
        <v>46006.51432967593</v>
      </c>
      <c r="J116" s="7">
        <v>46006.5115625</v>
      </c>
      <c r="K116" s="1" t="s">
        <v>93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60.0" customHeight="1">
      <c r="A117" s="1" t="s">
        <v>626</v>
      </c>
      <c r="B117" s="1" t="s">
        <v>627</v>
      </c>
      <c r="C117" s="2" t="s">
        <v>628</v>
      </c>
      <c r="D117" s="5" t="str">
        <f>IMAGE("https://drive.google.com/uc?export=view&amp;id=15lXCZaO2TINut0YDnH64kJntX4F2EONQ",2)</f>
        <v/>
      </c>
      <c r="E117" s="5" t="str">
        <f>IMAGE("https://drive.google.com/uc?export=view&amp;id=15lXCZaO2TINut0YDnH64kJntX4F2EONQ",1)</f>
        <v/>
      </c>
      <c r="F117" s="6" t="s">
        <v>629</v>
      </c>
      <c r="G117" s="6" t="s">
        <v>630</v>
      </c>
      <c r="H117" s="1" t="s">
        <v>114</v>
      </c>
      <c r="I117" s="7">
        <v>45828.54262956019</v>
      </c>
      <c r="J117" s="7">
        <v>45857.04420646991</v>
      </c>
      <c r="K117" s="1" t="s">
        <v>115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60.0" customHeight="1">
      <c r="A118" s="1" t="s">
        <v>631</v>
      </c>
      <c r="B118" s="1" t="s">
        <v>632</v>
      </c>
      <c r="C118" s="2" t="s">
        <v>633</v>
      </c>
      <c r="D118" s="5" t="str">
        <f>IMAGE("https://drive.google.com/uc?export=view&amp;id=1Veef8PnSzQIR0KNaC4beceC5Boyp3p6g",2)</f>
        <v/>
      </c>
      <c r="E118" s="5" t="str">
        <f>IMAGE("https://drive.google.com/uc?export=view&amp;id=1Veef8PnSzQIR0KNaC4beceC5Boyp3p6g",1)</f>
        <v/>
      </c>
      <c r="F118" s="6" t="s">
        <v>634</v>
      </c>
      <c r="G118" s="6" t="s">
        <v>635</v>
      </c>
      <c r="H118" s="1" t="s">
        <v>114</v>
      </c>
      <c r="I118" s="7">
        <v>45828.542747141204</v>
      </c>
      <c r="J118" s="7">
        <v>45857.044172291666</v>
      </c>
      <c r="K118" s="1" t="s">
        <v>115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60.0" customHeight="1">
      <c r="A119" s="1" t="s">
        <v>636</v>
      </c>
      <c r="B119" s="1" t="s">
        <v>637</v>
      </c>
      <c r="C119" s="2" t="s">
        <v>638</v>
      </c>
      <c r="D119" s="5" t="str">
        <f>IMAGE("https://drive.google.com/uc?export=view&amp;id=1b3ChMGdweCjNv4DgR8j-dnD_Kf94RoHL",2)</f>
        <v/>
      </c>
      <c r="E119" s="5" t="str">
        <f>IMAGE("https://drive.google.com/uc?export=view&amp;id=1b3ChMGdweCjNv4DgR8j-dnD_Kf94RoHL",1)</f>
        <v/>
      </c>
      <c r="F119" s="6" t="s">
        <v>639</v>
      </c>
      <c r="G119" s="6" t="s">
        <v>640</v>
      </c>
      <c r="H119" s="1" t="s">
        <v>114</v>
      </c>
      <c r="I119" s="7">
        <v>45828.54262956019</v>
      </c>
      <c r="J119" s="7">
        <v>45860.69128697917</v>
      </c>
      <c r="K119" s="1" t="s">
        <v>115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60.0" customHeight="1">
      <c r="A120" s="1" t="s">
        <v>641</v>
      </c>
      <c r="B120" s="1" t="s">
        <v>642</v>
      </c>
      <c r="C120" s="2" t="s">
        <v>643</v>
      </c>
      <c r="D120" s="5" t="str">
        <f>IMAGE("https://drive.google.com/uc?export=view&amp;id=1t8XIC7-wsQvN-T3hLYVreYESpY1wtwKc",2)</f>
        <v/>
      </c>
      <c r="E120" s="5" t="str">
        <f>IMAGE("https://drive.google.com/uc?export=view&amp;id=1t8XIC7-wsQvN-T3hLYVreYESpY1wtwKc",1)</f>
        <v/>
      </c>
      <c r="F120" s="6" t="s">
        <v>644</v>
      </c>
      <c r="G120" s="6" t="s">
        <v>645</v>
      </c>
      <c r="H120" s="1" t="s">
        <v>646</v>
      </c>
      <c r="I120" s="7">
        <v>46068.729948101856</v>
      </c>
      <c r="J120" s="7">
        <v>46068.48983796296</v>
      </c>
      <c r="K120" s="1" t="s">
        <v>647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60.0" customHeight="1">
      <c r="A121" s="1" t="s">
        <v>648</v>
      </c>
      <c r="B121" s="1" t="s">
        <v>649</v>
      </c>
      <c r="C121" s="2" t="s">
        <v>650</v>
      </c>
      <c r="D121" s="5" t="str">
        <f>IMAGE("https://drive.google.com/uc?export=view&amp;id=1vhd0LWkPfuMk0yI3-AlG2HhPNVLqLL5b",2)</f>
        <v/>
      </c>
      <c r="E121" s="5" t="str">
        <f>IMAGE("https://drive.google.com/uc?export=view&amp;id=1vhd0LWkPfuMk0yI3-AlG2HhPNVLqLL5b",1)</f>
        <v/>
      </c>
      <c r="F121" s="6" t="s">
        <v>651</v>
      </c>
      <c r="G121" s="6" t="s">
        <v>652</v>
      </c>
      <c r="H121" s="1" t="s">
        <v>121</v>
      </c>
      <c r="I121" s="7">
        <v>46074.497839143514</v>
      </c>
      <c r="J121" s="7">
        <v>46072.69108796296</v>
      </c>
      <c r="K121" s="1" t="s">
        <v>122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60.0" customHeight="1">
      <c r="A122" s="1" t="s">
        <v>653</v>
      </c>
      <c r="B122" s="1" t="s">
        <v>654</v>
      </c>
      <c r="C122" s="2" t="s">
        <v>655</v>
      </c>
      <c r="D122" s="5" t="str">
        <f>IMAGE("https://drive.google.com/uc?export=view&amp;id=1EmqIUATOuZLmGl5QRl9OcCyUpSlTfA6x",2)</f>
        <v/>
      </c>
      <c r="E122" s="5" t="str">
        <f>IMAGE("https://drive.google.com/uc?export=view&amp;id=1EmqIUATOuZLmGl5QRl9OcCyUpSlTfA6x",1)</f>
        <v/>
      </c>
      <c r="F122" s="6" t="s">
        <v>656</v>
      </c>
      <c r="G122" s="6" t="s">
        <v>657</v>
      </c>
      <c r="H122" s="1" t="s">
        <v>272</v>
      </c>
      <c r="I122" s="7">
        <v>46078.461395439816</v>
      </c>
      <c r="J122" s="7">
        <v>46075.705092592594</v>
      </c>
      <c r="K122" s="1" t="s">
        <v>273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60.0" customHeight="1">
      <c r="A123" s="1" t="s">
        <v>658</v>
      </c>
      <c r="B123" s="1" t="s">
        <v>659</v>
      </c>
      <c r="C123" s="2" t="s">
        <v>660</v>
      </c>
      <c r="D123" s="5" t="str">
        <f>IMAGE("https://drive.google.com/uc?export=view&amp;id=1aX1eYFK91h82spruRsulhTRIWQBy445X",2)</f>
        <v/>
      </c>
      <c r="E123" s="5" t="str">
        <f>IMAGE("https://drive.google.com/uc?export=view&amp;id=1aX1eYFK91h82spruRsulhTRIWQBy445X",1)</f>
        <v/>
      </c>
      <c r="F123" s="6" t="s">
        <v>661</v>
      </c>
      <c r="G123" s="6" t="s">
        <v>662</v>
      </c>
      <c r="H123" s="1" t="s">
        <v>121</v>
      </c>
      <c r="I123" s="7">
        <v>46074.498015543984</v>
      </c>
      <c r="J123" s="7">
        <v>46074.40252314815</v>
      </c>
      <c r="K123" s="1" t="s">
        <v>122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60.0" customHeight="1">
      <c r="A124" s="1" t="s">
        <v>663</v>
      </c>
      <c r="B124" s="1" t="s">
        <v>664</v>
      </c>
      <c r="C124" s="2" t="s">
        <v>665</v>
      </c>
      <c r="D124" s="5" t="str">
        <f>IMAGE("https://drive.google.com/uc?export=view&amp;id=13fLmKOxV2FWMmhlM2WWTIS3tly-wMsKN",2)</f>
        <v/>
      </c>
      <c r="E124" s="5" t="str">
        <f>IMAGE("https://drive.google.com/uc?export=view&amp;id=13fLmKOxV2FWMmhlM2WWTIS3tly-wMsKN",1)</f>
        <v/>
      </c>
      <c r="F124" s="6" t="s">
        <v>666</v>
      </c>
      <c r="G124" s="6" t="s">
        <v>667</v>
      </c>
      <c r="H124" s="1" t="s">
        <v>92</v>
      </c>
      <c r="I124" s="7">
        <v>46009.46268708333</v>
      </c>
      <c r="J124" s="7">
        <v>46009.46232638889</v>
      </c>
      <c r="K124" s="1" t="s">
        <v>93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60.0" customHeight="1">
      <c r="A125" s="1" t="s">
        <v>668</v>
      </c>
      <c r="B125" s="1" t="s">
        <v>669</v>
      </c>
      <c r="C125" s="2" t="s">
        <v>670</v>
      </c>
      <c r="D125" s="5" t="str">
        <f>IMAGE("https://drive.google.com/uc?export=view&amp;id=1C4tZeYI77w_kgUazTOJgSph_xcZdkXcf",2)</f>
        <v/>
      </c>
      <c r="E125" s="5" t="str">
        <f>IMAGE("https://drive.google.com/uc?export=view&amp;id=1C4tZeYI77w_kgUazTOJgSph_xcZdkXcf",1)</f>
        <v/>
      </c>
      <c r="F125" s="6" t="s">
        <v>671</v>
      </c>
      <c r="G125" s="6" t="s">
        <v>672</v>
      </c>
      <c r="H125" s="1" t="s">
        <v>114</v>
      </c>
      <c r="I125" s="7">
        <v>45828.542763414356</v>
      </c>
      <c r="J125" s="7">
        <v>45857.043875567135</v>
      </c>
      <c r="K125" s="1" t="s">
        <v>115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60.0" customHeight="1">
      <c r="A126" s="1" t="s">
        <v>673</v>
      </c>
      <c r="B126" s="1" t="s">
        <v>674</v>
      </c>
      <c r="C126" s="2" t="s">
        <v>675</v>
      </c>
      <c r="D126" s="5" t="str">
        <f>IMAGE("https://drive.google.com/uc?export=view&amp;id=1FyRYOLeS71zj0l8mJ2aKm4gcyEakowjk",2)</f>
        <v/>
      </c>
      <c r="E126" s="5" t="str">
        <f>IMAGE("https://drive.google.com/uc?export=view&amp;id=1FyRYOLeS71zj0l8mJ2aKm4gcyEakowjk",1)</f>
        <v/>
      </c>
      <c r="F126" s="6" t="s">
        <v>676</v>
      </c>
      <c r="G126" s="6" t="s">
        <v>677</v>
      </c>
      <c r="H126" s="1" t="s">
        <v>114</v>
      </c>
      <c r="I126" s="7">
        <v>45828.543459803244</v>
      </c>
      <c r="J126" s="7">
        <v>45857.043967986116</v>
      </c>
      <c r="K126" s="1" t="s">
        <v>115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60.0" customHeight="1">
      <c r="A127" s="1" t="s">
        <v>678</v>
      </c>
      <c r="B127" s="1" t="s">
        <v>679</v>
      </c>
      <c r="C127" s="2" t="s">
        <v>680</v>
      </c>
      <c r="D127" s="5" t="str">
        <f>IMAGE("https://drive.google.com/uc?export=view&amp;id=1QS94KBhIsOclaZ4B_Lq6_6dmLR8SiQ-l",2)</f>
        <v/>
      </c>
      <c r="E127" s="5" t="str">
        <f>IMAGE("https://drive.google.com/uc?export=view&amp;id=1QS94KBhIsOclaZ4B_Lq6_6dmLR8SiQ-l",1)</f>
        <v/>
      </c>
      <c r="F127" s="6" t="s">
        <v>681</v>
      </c>
      <c r="G127" s="6" t="s">
        <v>682</v>
      </c>
      <c r="H127" s="1" t="s">
        <v>114</v>
      </c>
      <c r="I127" s="7">
        <v>45828.5436003125</v>
      </c>
      <c r="J127" s="7">
        <v>45860.69920513889</v>
      </c>
      <c r="K127" s="1" t="s">
        <v>115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60.0" customHeight="1">
      <c r="A128" s="1" t="s">
        <v>683</v>
      </c>
      <c r="B128" s="1" t="s">
        <v>684</v>
      </c>
      <c r="C128" s="2" t="s">
        <v>685</v>
      </c>
      <c r="D128" s="5" t="str">
        <f>IMAGE("https://drive.google.com/uc?export=view&amp;id=1UCu9rpY92InakN8DLkO3ePoluhLhM82X",2)</f>
        <v/>
      </c>
      <c r="E128" s="5" t="str">
        <f>IMAGE("https://drive.google.com/uc?export=view&amp;id=1UCu9rpY92InakN8DLkO3ePoluhLhM82X",1)</f>
        <v/>
      </c>
      <c r="F128" s="6" t="s">
        <v>686</v>
      </c>
      <c r="G128" s="6" t="s">
        <v>687</v>
      </c>
      <c r="H128" s="1" t="s">
        <v>92</v>
      </c>
      <c r="I128" s="7">
        <v>46006.51362138889</v>
      </c>
      <c r="J128" s="7">
        <v>46006.48395833334</v>
      </c>
      <c r="K128" s="1" t="s">
        <v>93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60.0" customHeight="1">
      <c r="A129" s="1" t="s">
        <v>688</v>
      </c>
      <c r="B129" s="1" t="s">
        <v>689</v>
      </c>
      <c r="C129" s="2" t="s">
        <v>690</v>
      </c>
      <c r="D129" s="5" t="str">
        <f>IMAGE("https://drive.google.com/uc?export=view&amp;id=1XdZAXI6HUEGxINoDpMN_zBTs8LW5PzpR",2)</f>
        <v/>
      </c>
      <c r="E129" s="5" t="str">
        <f>IMAGE("https://drive.google.com/uc?export=view&amp;id=1XdZAXI6HUEGxINoDpMN_zBTs8LW5PzpR",1)</f>
        <v/>
      </c>
      <c r="F129" s="6" t="s">
        <v>691</v>
      </c>
      <c r="G129" s="6" t="s">
        <v>692</v>
      </c>
      <c r="H129" s="1" t="s">
        <v>92</v>
      </c>
      <c r="I129" s="7">
        <v>45841.517901354164</v>
      </c>
      <c r="J129" s="7">
        <v>45860.69935414352</v>
      </c>
      <c r="K129" s="1" t="s">
        <v>93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60.0" customHeight="1">
      <c r="A130" s="1" t="s">
        <v>693</v>
      </c>
      <c r="B130" s="1" t="s">
        <v>694</v>
      </c>
      <c r="C130" s="2" t="s">
        <v>695</v>
      </c>
      <c r="D130" s="5" t="str">
        <f>IMAGE("https://drive.google.com/uc?export=view&amp;id=15vHRUMGa9TWyXRbHoCy1QWtN9zq12iiS",2)</f>
        <v/>
      </c>
      <c r="E130" s="5" t="str">
        <f>IMAGE("https://drive.google.com/uc?export=view&amp;id=15vHRUMGa9TWyXRbHoCy1QWtN9zq12iiS",1)</f>
        <v/>
      </c>
      <c r="F130" s="6" t="s">
        <v>696</v>
      </c>
      <c r="G130" s="6" t="s">
        <v>697</v>
      </c>
      <c r="H130" s="1" t="s">
        <v>427</v>
      </c>
      <c r="I130" s="7">
        <v>46069.91560810185</v>
      </c>
      <c r="J130" s="7">
        <v>46068.99912037037</v>
      </c>
      <c r="K130" s="1" t="s">
        <v>428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60.0" customHeight="1">
      <c r="A131" s="1" t="s">
        <v>698</v>
      </c>
      <c r="B131" s="1" t="s">
        <v>699</v>
      </c>
      <c r="C131" s="2" t="s">
        <v>700</v>
      </c>
      <c r="D131" s="5" t="str">
        <f>IMAGE("https://drive.google.com/uc?export=view&amp;id=1nELz9zrKD-VONm47HMDNILB5SXFY6nZi",2)</f>
        <v/>
      </c>
      <c r="E131" s="5" t="str">
        <f>IMAGE("https://drive.google.com/uc?export=view&amp;id=1nELz9zrKD-VONm47HMDNILB5SXFY6nZi",1)</f>
        <v/>
      </c>
      <c r="F131" s="6" t="s">
        <v>701</v>
      </c>
      <c r="G131" s="6" t="s">
        <v>702</v>
      </c>
      <c r="H131" s="1" t="s">
        <v>30</v>
      </c>
      <c r="I131" s="7">
        <v>45897.4525883912</v>
      </c>
      <c r="J131" s="7">
        <v>45913.553746412035</v>
      </c>
      <c r="K131" s="1" t="s">
        <v>31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60.0" customHeight="1">
      <c r="A132" s="1" t="s">
        <v>703</v>
      </c>
      <c r="B132" s="1" t="s">
        <v>704</v>
      </c>
      <c r="C132" s="2" t="s">
        <v>705</v>
      </c>
      <c r="D132" s="5" t="str">
        <f>IMAGE("https://drive.google.com/uc?export=view&amp;id=1UDvMFjdlRarh_F0-aUxsvVETFMGyp258",2)</f>
        <v/>
      </c>
      <c r="E132" s="5" t="str">
        <f>IMAGE("https://drive.google.com/uc?export=view&amp;id=1UDvMFjdlRarh_F0-aUxsvVETFMGyp258",1)</f>
        <v/>
      </c>
      <c r="F132" s="6" t="s">
        <v>706</v>
      </c>
      <c r="G132" s="6" t="s">
        <v>707</v>
      </c>
      <c r="H132" s="1" t="s">
        <v>16</v>
      </c>
      <c r="I132" s="7">
        <v>45872.785899016206</v>
      </c>
      <c r="J132" s="7">
        <v>45890.471444201394</v>
      </c>
      <c r="K132" s="1" t="s">
        <v>17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60.0" customHeight="1">
      <c r="A133" s="1" t="s">
        <v>708</v>
      </c>
      <c r="B133" s="1" t="s">
        <v>709</v>
      </c>
      <c r="C133" s="2" t="s">
        <v>710</v>
      </c>
      <c r="D133" s="5" t="str">
        <f>IMAGE("https://drive.google.com/uc?export=view&amp;id=1SiKhsn_96liQCf-2N6Idy_bE2XZvvNaw",2)</f>
        <v/>
      </c>
      <c r="E133" s="5" t="str">
        <f>IMAGE("https://drive.google.com/uc?export=view&amp;id=1SiKhsn_96liQCf-2N6Idy_bE2XZvvNaw",1)</f>
        <v/>
      </c>
      <c r="F133" s="6" t="s">
        <v>711</v>
      </c>
      <c r="G133" s="6" t="s">
        <v>712</v>
      </c>
      <c r="H133" s="1" t="s">
        <v>23</v>
      </c>
      <c r="I133" s="7">
        <v>45898.58482396991</v>
      </c>
      <c r="J133" s="7">
        <v>45898.57761574074</v>
      </c>
      <c r="K133" s="1" t="s">
        <v>24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60.0" customHeight="1">
      <c r="A134" s="1" t="s">
        <v>713</v>
      </c>
      <c r="B134" s="1" t="s">
        <v>714</v>
      </c>
      <c r="C134" s="2" t="s">
        <v>715</v>
      </c>
      <c r="D134" s="5" t="str">
        <f>IMAGE("https://drive.google.com/uc?export=view&amp;id=1xJQ6033rXOaJ45kd8g6jHiSR1K3KaOSu",2)</f>
        <v/>
      </c>
      <c r="E134" s="5" t="str">
        <f>IMAGE("https://drive.google.com/uc?export=view&amp;id=1xJQ6033rXOaJ45kd8g6jHiSR1K3KaOSu",1)</f>
        <v/>
      </c>
      <c r="F134" s="6" t="s">
        <v>716</v>
      </c>
      <c r="G134" s="6" t="s">
        <v>717</v>
      </c>
      <c r="H134" s="1" t="s">
        <v>16</v>
      </c>
      <c r="I134" s="7">
        <v>45887.50100068287</v>
      </c>
      <c r="J134" s="7">
        <v>45890.468319479165</v>
      </c>
      <c r="K134" s="1" t="s">
        <v>17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60.0" customHeight="1">
      <c r="A135" s="1" t="s">
        <v>718</v>
      </c>
      <c r="B135" s="1" t="s">
        <v>719</v>
      </c>
      <c r="C135" s="2" t="s">
        <v>720</v>
      </c>
      <c r="D135" s="5" t="str">
        <f>IMAGE("https://drive.google.com/uc?export=view&amp;id=1EaaDxwcgde2GwbuL38w2pjLkNS7OT8W4",2)</f>
        <v/>
      </c>
      <c r="E135" s="5" t="str">
        <f>IMAGE("https://drive.google.com/uc?export=view&amp;id=1EaaDxwcgde2GwbuL38w2pjLkNS7OT8W4",1)</f>
        <v/>
      </c>
      <c r="F135" s="6" t="s">
        <v>721</v>
      </c>
      <c r="G135" s="6" t="s">
        <v>722</v>
      </c>
      <c r="H135" s="1" t="s">
        <v>23</v>
      </c>
      <c r="I135" s="7">
        <v>45898.58447459491</v>
      </c>
      <c r="J135" s="7">
        <v>45898.577627314815</v>
      </c>
      <c r="K135" s="1" t="s">
        <v>24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60.0" customHeight="1">
      <c r="A136" s="1" t="s">
        <v>723</v>
      </c>
      <c r="B136" s="1" t="s">
        <v>724</v>
      </c>
      <c r="C136" s="2" t="s">
        <v>725</v>
      </c>
      <c r="D136" s="5" t="str">
        <f>IMAGE("https://drive.google.com/uc?export=view&amp;id=10a5e7MHMqcT-EO7Xmrf4-SITmrn8r92f",2)</f>
        <v/>
      </c>
      <c r="E136" s="5" t="str">
        <f>IMAGE("https://drive.google.com/uc?export=view&amp;id=10a5e7MHMqcT-EO7Xmrf4-SITmrn8r92f",1)</f>
        <v/>
      </c>
      <c r="F136" s="6" t="s">
        <v>726</v>
      </c>
      <c r="G136" s="6" t="s">
        <v>727</v>
      </c>
      <c r="H136" s="1" t="s">
        <v>173</v>
      </c>
      <c r="I136" s="7">
        <v>46005.50866928241</v>
      </c>
      <c r="J136" s="7">
        <v>46005.49995370371</v>
      </c>
      <c r="K136" s="1" t="s">
        <v>246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60.0" customHeight="1">
      <c r="A137" s="1" t="s">
        <v>728</v>
      </c>
      <c r="B137" s="1" t="s">
        <v>729</v>
      </c>
      <c r="C137" s="2" t="s">
        <v>730</v>
      </c>
      <c r="D137" s="5" t="str">
        <f>IMAGE("https://drive.google.com/uc?export=view&amp;id=1IbWbTCTHb5lVLFTRSBxrYFqFTJCL4gAc",2)</f>
        <v/>
      </c>
      <c r="E137" s="5" t="str">
        <f>IMAGE("https://drive.google.com/uc?export=view&amp;id=1IbWbTCTHb5lVLFTRSBxrYFqFTJCL4gAc",1)</f>
        <v/>
      </c>
      <c r="F137" s="6" t="s">
        <v>731</v>
      </c>
      <c r="G137" s="6" t="s">
        <v>732</v>
      </c>
      <c r="H137" s="1" t="s">
        <v>353</v>
      </c>
      <c r="I137" s="7">
        <v>45828.54388670139</v>
      </c>
      <c r="J137" s="7">
        <v>45860.41642681713</v>
      </c>
      <c r="K137" s="1" t="s">
        <v>354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60.0" customHeight="1">
      <c r="A138" s="1" t="s">
        <v>733</v>
      </c>
      <c r="B138" s="1" t="s">
        <v>734</v>
      </c>
      <c r="C138" s="2" t="s">
        <v>735</v>
      </c>
      <c r="D138" s="5" t="str">
        <f>IMAGE("https://drive.google.com/uc?export=view&amp;id=1BQfTLkzNvW50QfGJZfWogZWLBO5tVsEZ",2)</f>
        <v/>
      </c>
      <c r="E138" s="5" t="str">
        <f>IMAGE("https://drive.google.com/uc?export=view&amp;id=1BQfTLkzNvW50QfGJZfWogZWLBO5tVsEZ",1)</f>
        <v/>
      </c>
      <c r="F138" s="6" t="s">
        <v>736</v>
      </c>
      <c r="G138" s="6" t="s">
        <v>737</v>
      </c>
      <c r="H138" s="1" t="s">
        <v>353</v>
      </c>
      <c r="I138" s="7">
        <v>45864.58554944444</v>
      </c>
      <c r="J138" s="7">
        <v>45864.58319444444</v>
      </c>
      <c r="K138" s="1" t="s">
        <v>354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60.0" customHeight="1">
      <c r="A139" s="1" t="s">
        <v>738</v>
      </c>
      <c r="B139" s="1" t="s">
        <v>739</v>
      </c>
      <c r="C139" s="2" t="s">
        <v>740</v>
      </c>
      <c r="D139" s="5" t="str">
        <f>IMAGE("https://drive.google.com/uc?export=view&amp;id=16R6VtDa0489ZFW4xCmRZxzfPofw8efzt",2)</f>
        <v/>
      </c>
      <c r="E139" s="5" t="str">
        <f>IMAGE("https://drive.google.com/uc?export=view&amp;id=16R6VtDa0489ZFW4xCmRZxzfPofw8efzt",1)</f>
        <v/>
      </c>
      <c r="F139" s="6" t="s">
        <v>741</v>
      </c>
      <c r="G139" s="6" t="s">
        <v>742</v>
      </c>
      <c r="H139" s="1" t="s">
        <v>353</v>
      </c>
      <c r="I139" s="7">
        <v>45828.54374540509</v>
      </c>
      <c r="J139" s="7">
        <v>45857.04427458333</v>
      </c>
      <c r="K139" s="1" t="s">
        <v>354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60.0" customHeight="1">
      <c r="A140" s="1" t="s">
        <v>743</v>
      </c>
      <c r="B140" s="1" t="s">
        <v>744</v>
      </c>
      <c r="C140" s="2" t="s">
        <v>745</v>
      </c>
      <c r="D140" s="5" t="str">
        <f>IMAGE("https://drive.google.com/uc?export=view&amp;id=1c2TJJmODomHeJZYXOhdNhw-qOYMhMC6b",2)</f>
        <v/>
      </c>
      <c r="E140" s="5" t="str">
        <f>IMAGE("https://drive.google.com/uc?export=view&amp;id=1c2TJJmODomHeJZYXOhdNhw-qOYMhMC6b",1)</f>
        <v/>
      </c>
      <c r="F140" s="6" t="s">
        <v>746</v>
      </c>
      <c r="G140" s="6" t="s">
        <v>747</v>
      </c>
      <c r="H140" s="1" t="s">
        <v>353</v>
      </c>
      <c r="I140" s="7">
        <v>45828.54400268519</v>
      </c>
      <c r="J140" s="7">
        <v>45860.41645586806</v>
      </c>
      <c r="K140" s="1" t="s">
        <v>354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60.0" customHeight="1">
      <c r="A141" s="1" t="s">
        <v>748</v>
      </c>
      <c r="B141" s="1" t="s">
        <v>749</v>
      </c>
      <c r="C141" s="2" t="s">
        <v>750</v>
      </c>
      <c r="D141" s="5" t="str">
        <f>IMAGE("https://drive.google.com/uc?export=view&amp;id=1BvgWrE_tlABvoExma70eRomcIrKo-nko",2)</f>
        <v/>
      </c>
      <c r="E141" s="5" t="str">
        <f>IMAGE("https://drive.google.com/uc?export=view&amp;id=1BvgWrE_tlABvoExma70eRomcIrKo-nko",1)</f>
        <v/>
      </c>
      <c r="F141" s="6" t="s">
        <v>751</v>
      </c>
      <c r="G141" s="6" t="s">
        <v>752</v>
      </c>
      <c r="H141" s="1" t="s">
        <v>173</v>
      </c>
      <c r="I141" s="7">
        <v>45841.51807443287</v>
      </c>
      <c r="J141" s="7">
        <v>45860.69951633102</v>
      </c>
      <c r="K141" s="1" t="s">
        <v>246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60.0" customHeight="1">
      <c r="A142" s="1" t="s">
        <v>753</v>
      </c>
      <c r="B142" s="1" t="s">
        <v>754</v>
      </c>
      <c r="C142" s="2" t="s">
        <v>755</v>
      </c>
      <c r="D142" s="5" t="str">
        <f>IMAGE("https://drive.google.com/uc?export=view&amp;id=1dtKzypQ89k-Z4yhboLAixisbfFFHEAZd",2)</f>
        <v/>
      </c>
      <c r="E142" s="5" t="str">
        <f>IMAGE("https://drive.google.com/uc?export=view&amp;id=1dtKzypQ89k-Z4yhboLAixisbfFFHEAZd",1)</f>
        <v/>
      </c>
      <c r="F142" s="6" t="s">
        <v>756</v>
      </c>
      <c r="G142" s="6" t="s">
        <v>757</v>
      </c>
      <c r="H142" s="1" t="s">
        <v>92</v>
      </c>
      <c r="I142" s="7">
        <v>45841.518551574074</v>
      </c>
      <c r="J142" s="7">
        <v>45860.699682465274</v>
      </c>
      <c r="K142" s="1" t="s">
        <v>93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60.0" customHeight="1">
      <c r="A143" s="1" t="s">
        <v>758</v>
      </c>
      <c r="B143" s="1" t="s">
        <v>759</v>
      </c>
      <c r="C143" s="2" t="s">
        <v>760</v>
      </c>
      <c r="D143" s="5" t="str">
        <f>IMAGE("https://drive.google.com/uc?export=view&amp;id=1Tp1hN6ZNvW-NhhGsx7eyjSiLXfMoUnTE",2)</f>
        <v/>
      </c>
      <c r="E143" s="5" t="str">
        <f>IMAGE("https://drive.google.com/uc?export=view&amp;id=1Tp1hN6ZNvW-NhhGsx7eyjSiLXfMoUnTE",1)</f>
        <v/>
      </c>
      <c r="F143" s="6" t="s">
        <v>761</v>
      </c>
      <c r="G143" s="6" t="s">
        <v>762</v>
      </c>
      <c r="H143" s="1" t="s">
        <v>353</v>
      </c>
      <c r="I143" s="7">
        <v>46005.69220263889</v>
      </c>
      <c r="J143" s="7">
        <v>46005.68680555555</v>
      </c>
      <c r="K143" s="1" t="s">
        <v>354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60.0" customHeight="1">
      <c r="A144" s="1" t="s">
        <v>763</v>
      </c>
      <c r="B144" s="1" t="s">
        <v>764</v>
      </c>
      <c r="C144" s="2" t="s">
        <v>765</v>
      </c>
      <c r="D144" s="5" t="str">
        <f>IMAGE("https://drive.google.com/uc?export=view&amp;id=1-X16HcVgrP1l1mAKpF-_ntLUVk5nLL6t",2)</f>
        <v/>
      </c>
      <c r="E144" s="5" t="str">
        <f>IMAGE("https://drive.google.com/uc?export=view&amp;id=1-X16HcVgrP1l1mAKpF-_ntLUVk5nLL6t",1)</f>
        <v/>
      </c>
      <c r="F144" s="6" t="s">
        <v>766</v>
      </c>
      <c r="G144" s="6" t="s">
        <v>767</v>
      </c>
      <c r="H144" s="1" t="s">
        <v>16</v>
      </c>
      <c r="I144" s="7">
        <v>45872.78462015046</v>
      </c>
      <c r="J144" s="7">
        <v>45890.46863495371</v>
      </c>
      <c r="K144" s="1" t="s">
        <v>17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60.0" customHeight="1">
      <c r="A145" s="1" t="s">
        <v>768</v>
      </c>
      <c r="B145" s="1" t="s">
        <v>769</v>
      </c>
      <c r="C145" s="2" t="s">
        <v>770</v>
      </c>
      <c r="D145" s="5" t="str">
        <f>IMAGE("https://drive.google.com/uc?export=view&amp;id=1Ok7Ljf_G2U8Uk13qutHOOSc2EffSH1Bw",2)</f>
        <v/>
      </c>
      <c r="E145" s="5" t="str">
        <f>IMAGE("https://drive.google.com/uc?export=view&amp;id=1Ok7Ljf_G2U8Uk13qutHOOSc2EffSH1Bw",1)</f>
        <v/>
      </c>
      <c r="F145" s="6" t="s">
        <v>771</v>
      </c>
      <c r="G145" s="6" t="s">
        <v>772</v>
      </c>
      <c r="H145" s="1" t="s">
        <v>23</v>
      </c>
      <c r="I145" s="7">
        <v>45898.58450199074</v>
      </c>
      <c r="J145" s="7">
        <v>45898.577627314815</v>
      </c>
      <c r="K145" s="1" t="s">
        <v>24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60.0" customHeight="1">
      <c r="A146" s="1" t="s">
        <v>773</v>
      </c>
      <c r="B146" s="1" t="s">
        <v>774</v>
      </c>
      <c r="C146" s="2" t="s">
        <v>775</v>
      </c>
      <c r="D146" s="5" t="str">
        <f>IMAGE("https://drive.google.com/uc?export=view&amp;id=1uulCnDPgZbH05IYEZnwLymy_OBSqTjvq",2)</f>
        <v/>
      </c>
      <c r="E146" s="5" t="str">
        <f>IMAGE("https://drive.google.com/uc?export=view&amp;id=1uulCnDPgZbH05IYEZnwLymy_OBSqTjvq",1)</f>
        <v/>
      </c>
      <c r="F146" s="6" t="s">
        <v>776</v>
      </c>
      <c r="G146" s="6" t="s">
        <v>777</v>
      </c>
      <c r="H146" s="1" t="s">
        <v>353</v>
      </c>
      <c r="I146" s="7">
        <v>45889.77641855324</v>
      </c>
      <c r="J146" s="7">
        <v>45890.392963819446</v>
      </c>
      <c r="K146" s="1" t="s">
        <v>354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60.0" customHeight="1">
      <c r="A147" s="1" t="s">
        <v>778</v>
      </c>
      <c r="B147" s="1" t="s">
        <v>779</v>
      </c>
      <c r="C147" s="2" t="s">
        <v>780</v>
      </c>
      <c r="D147" s="5" t="str">
        <f>IMAGE("https://drive.google.com/uc?export=view&amp;id=12JZPJZ7v_uDvESnQxFpJ5W7nDOXg31KF",2)</f>
        <v/>
      </c>
      <c r="E147" s="5" t="str">
        <f>IMAGE("https://drive.google.com/uc?export=view&amp;id=12JZPJZ7v_uDvESnQxFpJ5W7nDOXg31KF",1)</f>
        <v/>
      </c>
      <c r="F147" s="6" t="s">
        <v>781</v>
      </c>
      <c r="G147" s="6" t="s">
        <v>782</v>
      </c>
      <c r="H147" s="1" t="s">
        <v>70</v>
      </c>
      <c r="I147" s="7">
        <v>46049.64277824074</v>
      </c>
      <c r="J147" s="7">
        <v>46049.643674583334</v>
      </c>
      <c r="K147" s="1" t="s">
        <v>71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60.0" customHeight="1">
      <c r="A148" s="1" t="s">
        <v>783</v>
      </c>
      <c r="B148" s="1" t="s">
        <v>784</v>
      </c>
      <c r="C148" s="2" t="s">
        <v>785</v>
      </c>
      <c r="D148" s="5" t="str">
        <f>IMAGE("https://drive.google.com/uc?export=view&amp;id=1ETD_QCX-x-GOzcvNCWMEAwiL_5B-7QJB",2)</f>
        <v/>
      </c>
      <c r="E148" s="5" t="str">
        <f>IMAGE("https://drive.google.com/uc?export=view&amp;id=1ETD_QCX-x-GOzcvNCWMEAwiL_5B-7QJB",1)</f>
        <v/>
      </c>
      <c r="F148" s="6" t="s">
        <v>786</v>
      </c>
      <c r="G148" s="6" t="s">
        <v>787</v>
      </c>
      <c r="H148" s="1" t="s">
        <v>70</v>
      </c>
      <c r="I148" s="7">
        <v>46050.38038938657</v>
      </c>
      <c r="J148" s="7">
        <v>46048.68054398148</v>
      </c>
      <c r="K148" s="1" t="s">
        <v>71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60.0" customHeight="1">
      <c r="A149" s="1" t="s">
        <v>788</v>
      </c>
      <c r="B149" s="1" t="s">
        <v>789</v>
      </c>
      <c r="C149" s="2" t="s">
        <v>790</v>
      </c>
      <c r="D149" s="5" t="str">
        <f>IMAGE("https://drive.google.com/uc?export=view&amp;id=1qBvjL0z1QZsV2UmRIb9wn5T8_A8qX3ji",2)</f>
        <v/>
      </c>
      <c r="E149" s="5" t="str">
        <f>IMAGE("https://drive.google.com/uc?export=view&amp;id=1qBvjL0z1QZsV2UmRIb9wn5T8_A8qX3ji",1)</f>
        <v/>
      </c>
      <c r="F149" s="6" t="s">
        <v>791</v>
      </c>
      <c r="G149" s="6" t="s">
        <v>792</v>
      </c>
      <c r="H149" s="1" t="s">
        <v>70</v>
      </c>
      <c r="I149" s="7">
        <v>46051.790627650465</v>
      </c>
      <c r="J149" s="7">
        <v>46051.79096775463</v>
      </c>
      <c r="K149" s="1" t="s">
        <v>71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60.0" customHeight="1">
      <c r="A150" s="1" t="s">
        <v>793</v>
      </c>
      <c r="B150" s="1" t="s">
        <v>794</v>
      </c>
      <c r="C150" s="2" t="s">
        <v>795</v>
      </c>
      <c r="D150" s="5" t="str">
        <f>IMAGE("https://drive.google.com/uc?export=view&amp;id=1ENe1dqk71EfjZ-iKBhOqFmQNa47nrx8B",2)</f>
        <v/>
      </c>
      <c r="E150" s="5" t="str">
        <f>IMAGE("https://drive.google.com/uc?export=view&amp;id=1ENe1dqk71EfjZ-iKBhOqFmQNa47nrx8B",1)</f>
        <v/>
      </c>
      <c r="F150" s="6" t="s">
        <v>796</v>
      </c>
      <c r="G150" s="6" t="s">
        <v>797</v>
      </c>
      <c r="H150" s="1" t="s">
        <v>798</v>
      </c>
      <c r="I150" s="7">
        <v>46017.53032815972</v>
      </c>
      <c r="J150" s="7">
        <v>46014.72944444444</v>
      </c>
      <c r="K150" s="1" t="s">
        <v>799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60.0" customHeight="1">
      <c r="A151" s="1" t="s">
        <v>800</v>
      </c>
      <c r="B151" s="1" t="s">
        <v>801</v>
      </c>
      <c r="C151" s="2" t="s">
        <v>802</v>
      </c>
      <c r="D151" s="5" t="str">
        <f>IMAGE("https://drive.google.com/uc?export=view&amp;id=13SeZnokD3cUYWlu843cLJ_27ZaWQBmNj",2)</f>
        <v/>
      </c>
      <c r="E151" s="5" t="str">
        <f>IMAGE("https://drive.google.com/uc?export=view&amp;id=13SeZnokD3cUYWlu843cLJ_27ZaWQBmNj",1)</f>
        <v/>
      </c>
      <c r="F151" s="6" t="s">
        <v>803</v>
      </c>
      <c r="G151" s="6" t="s">
        <v>804</v>
      </c>
      <c r="H151" s="1" t="s">
        <v>427</v>
      </c>
      <c r="I151" s="7">
        <v>46069.91587302083</v>
      </c>
      <c r="J151" s="7">
        <v>46068.922696759255</v>
      </c>
      <c r="K151" s="1" t="s">
        <v>428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60.0" customHeight="1">
      <c r="A152" s="1" t="s">
        <v>805</v>
      </c>
      <c r="B152" s="1" t="s">
        <v>806</v>
      </c>
      <c r="C152" s="2" t="s">
        <v>807</v>
      </c>
      <c r="D152" s="5" t="str">
        <f>IMAGE("https://drive.google.com/uc?export=view&amp;id=1pmfiK4PTucLijbbEWoOD3MK1rl2ohNXJ",2)</f>
        <v/>
      </c>
      <c r="E152" s="5" t="str">
        <f>IMAGE("https://drive.google.com/uc?export=view&amp;id=1pmfiK4PTucLijbbEWoOD3MK1rl2ohNXJ",1)</f>
        <v/>
      </c>
      <c r="F152" s="6" t="s">
        <v>808</v>
      </c>
      <c r="G152" s="6" t="s">
        <v>809</v>
      </c>
      <c r="H152" s="1" t="s">
        <v>16</v>
      </c>
      <c r="I152" s="7">
        <v>45933.60010380787</v>
      </c>
      <c r="J152" s="7">
        <v>45933.612862407404</v>
      </c>
      <c r="K152" s="1" t="s">
        <v>57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60.0" customHeight="1">
      <c r="A153" s="1" t="s">
        <v>810</v>
      </c>
      <c r="B153" s="1" t="s">
        <v>811</v>
      </c>
      <c r="C153" s="2" t="s">
        <v>812</v>
      </c>
      <c r="D153" s="5" t="str">
        <f>IMAGE("https://drive.google.com/uc?export=view&amp;id=1eP-CnJ__YYYIxrkJGvh5M3UM6iFqyF8g",2)</f>
        <v/>
      </c>
      <c r="E153" s="5" t="str">
        <f>IMAGE("https://drive.google.com/uc?export=view&amp;id=1eP-CnJ__YYYIxrkJGvh5M3UM6iFqyF8g",1)</f>
        <v/>
      </c>
      <c r="F153" s="6" t="s">
        <v>813</v>
      </c>
      <c r="G153" s="6" t="s">
        <v>814</v>
      </c>
      <c r="H153" s="1" t="s">
        <v>353</v>
      </c>
      <c r="I153" s="7">
        <v>45889.77307491898</v>
      </c>
      <c r="J153" s="7">
        <v>45889.77974327546</v>
      </c>
      <c r="K153" s="1" t="s">
        <v>354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60.0" customHeight="1">
      <c r="A154" s="1" t="s">
        <v>815</v>
      </c>
      <c r="B154" s="1" t="s">
        <v>816</v>
      </c>
      <c r="C154" s="2" t="s">
        <v>817</v>
      </c>
      <c r="D154" s="5" t="str">
        <f>IMAGE("https://drive.google.com/uc?export=view&amp;id=1M1p_vi6Zgz2Qbz_ISMUWdZRF_8NhQBJg",2)</f>
        <v/>
      </c>
      <c r="E154" s="5" t="str">
        <f>IMAGE("https://drive.google.com/uc?export=view&amp;id=1M1p_vi6Zgz2Qbz_ISMUWdZRF_8NhQBJg",1)</f>
        <v/>
      </c>
      <c r="F154" s="6" t="s">
        <v>818</v>
      </c>
      <c r="G154" s="6" t="s">
        <v>819</v>
      </c>
      <c r="H154" s="1" t="s">
        <v>820</v>
      </c>
      <c r="I154" s="7">
        <v>46017.51774760417</v>
      </c>
      <c r="J154" s="7">
        <v>46012.858402777776</v>
      </c>
      <c r="K154" s="1" t="s">
        <v>821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60.0" customHeight="1">
      <c r="A155" s="1" t="s">
        <v>822</v>
      </c>
      <c r="B155" s="1" t="s">
        <v>823</v>
      </c>
      <c r="C155" s="2" t="s">
        <v>824</v>
      </c>
      <c r="D155" s="5" t="str">
        <f>IMAGE("https://drive.google.com/uc?export=view&amp;id=10Acdr4MQ5n7ubQfZgqiQZ3VGccFN_dsx",2)</f>
        <v/>
      </c>
      <c r="E155" s="5" t="str">
        <f>IMAGE("https://drive.google.com/uc?export=view&amp;id=10Acdr4MQ5n7ubQfZgqiQZ3VGccFN_dsx",1)</f>
        <v/>
      </c>
      <c r="F155" s="6" t="s">
        <v>825</v>
      </c>
      <c r="G155" s="6" t="s">
        <v>826</v>
      </c>
      <c r="H155" s="1" t="s">
        <v>16</v>
      </c>
      <c r="I155" s="7">
        <v>45890.45781586805</v>
      </c>
      <c r="J155" s="7">
        <v>45889.03146990741</v>
      </c>
      <c r="K155" s="1" t="s">
        <v>17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60.0" customHeight="1">
      <c r="A156" s="1" t="s">
        <v>827</v>
      </c>
      <c r="B156" s="1" t="s">
        <v>828</v>
      </c>
      <c r="C156" s="2" t="s">
        <v>829</v>
      </c>
      <c r="D156" s="5" t="str">
        <f>IMAGE("https://drive.google.com/uc?export=view&amp;id=1lnHDQV3BB2nYLA-NkCVmN-CsTgJEk3vr",2)</f>
        <v/>
      </c>
      <c r="E156" s="5" t="str">
        <f>IMAGE("https://drive.google.com/uc?export=view&amp;id=1lnHDQV3BB2nYLA-NkCVmN-CsTgJEk3vr",1)</f>
        <v/>
      </c>
      <c r="F156" s="6" t="s">
        <v>830</v>
      </c>
      <c r="G156" s="6" t="s">
        <v>831</v>
      </c>
      <c r="H156" s="1" t="s">
        <v>23</v>
      </c>
      <c r="I156" s="7">
        <v>45898.58450199074</v>
      </c>
      <c r="J156" s="7">
        <v>45898.577627314815</v>
      </c>
      <c r="K156" s="1" t="s">
        <v>24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60.0" customHeight="1">
      <c r="A157" s="1" t="s">
        <v>832</v>
      </c>
      <c r="B157" s="1" t="s">
        <v>833</v>
      </c>
      <c r="C157" s="2" t="s">
        <v>834</v>
      </c>
      <c r="D157" s="5" t="str">
        <f>IMAGE("https://drive.google.com/uc?export=view&amp;id=1BVyBkyI2bDCbj2XL8t2BJ6BQGM-0Nc3y",2)</f>
        <v/>
      </c>
      <c r="E157" s="5" t="str">
        <f>IMAGE("https://drive.google.com/uc?export=view&amp;id=1BVyBkyI2bDCbj2XL8t2BJ6BQGM-0Nc3y",1)</f>
        <v/>
      </c>
      <c r="F157" s="6" t="s">
        <v>835</v>
      </c>
      <c r="G157" s="6" t="s">
        <v>836</v>
      </c>
      <c r="H157" s="1" t="s">
        <v>30</v>
      </c>
      <c r="I157" s="7">
        <v>45913.54747722222</v>
      </c>
      <c r="J157" s="7">
        <v>45902.48844907407</v>
      </c>
      <c r="K157" s="1" t="s">
        <v>31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60.0" customHeight="1">
      <c r="A158" s="1" t="s">
        <v>837</v>
      </c>
      <c r="B158" s="1" t="s">
        <v>838</v>
      </c>
      <c r="C158" s="2" t="s">
        <v>839</v>
      </c>
      <c r="D158" s="5" t="str">
        <f>IMAGE("https://drive.google.com/uc?export=view&amp;id=1CE8fqgYQ_0E9ryVyTUIbq57XOYspLdTJ",2)</f>
        <v/>
      </c>
      <c r="E158" s="5" t="str">
        <f>IMAGE("https://drive.google.com/uc?export=view&amp;id=1CE8fqgYQ_0E9ryVyTUIbq57XOYspLdTJ",1)</f>
        <v/>
      </c>
      <c r="F158" s="6" t="s">
        <v>840</v>
      </c>
      <c r="G158" s="6" t="s">
        <v>841</v>
      </c>
      <c r="H158" s="1" t="s">
        <v>353</v>
      </c>
      <c r="I158" s="7">
        <v>45792.398095439814</v>
      </c>
      <c r="J158" s="7">
        <v>45860.699854108796</v>
      </c>
      <c r="K158" s="1" t="s">
        <v>354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60.0" customHeight="1">
      <c r="A159" s="1" t="s">
        <v>842</v>
      </c>
      <c r="B159" s="1" t="s">
        <v>843</v>
      </c>
      <c r="C159" s="2" t="s">
        <v>844</v>
      </c>
      <c r="D159" s="5" t="str">
        <f>IMAGE("https://drive.google.com/uc?export=view&amp;id=1N_S1Lq3wljjSyh1dTEbVmLh8Ec428OZZ",2)</f>
        <v/>
      </c>
      <c r="E159" s="5" t="str">
        <f>IMAGE("https://drive.google.com/uc?export=view&amp;id=1N_S1Lq3wljjSyh1dTEbVmLh8Ec428OZZ",1)</f>
        <v/>
      </c>
      <c r="F159" s="6" t="s">
        <v>845</v>
      </c>
      <c r="G159" s="6" t="s">
        <v>846</v>
      </c>
      <c r="H159" s="1" t="s">
        <v>30</v>
      </c>
      <c r="I159" s="7">
        <v>45897.45329320602</v>
      </c>
      <c r="J159" s="7">
        <v>45913.55391192129</v>
      </c>
      <c r="K159" s="1" t="s">
        <v>31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60.0" customHeight="1">
      <c r="A160" s="1" t="s">
        <v>847</v>
      </c>
      <c r="B160" s="1" t="s">
        <v>848</v>
      </c>
      <c r="C160" s="2" t="s">
        <v>849</v>
      </c>
      <c r="D160" s="5" t="str">
        <f>IMAGE("https://drive.google.com/uc?export=view&amp;id=1Yc4NCuMAd3sR0kaxBjEd0zeYcpZtvWDt",2)</f>
        <v/>
      </c>
      <c r="E160" s="5" t="str">
        <f>IMAGE("https://drive.google.com/uc?export=view&amp;id=1Yc4NCuMAd3sR0kaxBjEd0zeYcpZtvWDt",1)</f>
        <v/>
      </c>
      <c r="F160" s="6" t="s">
        <v>850</v>
      </c>
      <c r="G160" s="6" t="s">
        <v>851</v>
      </c>
      <c r="H160" s="1" t="s">
        <v>30</v>
      </c>
      <c r="I160" s="7">
        <v>45897.45343340278</v>
      </c>
      <c r="J160" s="7">
        <v>45913.54907248843</v>
      </c>
      <c r="K160" s="1" t="s">
        <v>31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60.0" customHeight="1">
      <c r="A161" s="1" t="s">
        <v>852</v>
      </c>
      <c r="B161" s="1" t="s">
        <v>853</v>
      </c>
      <c r="C161" s="2" t="s">
        <v>854</v>
      </c>
      <c r="D161" s="5" t="str">
        <f>IMAGE("https://drive.google.com/uc?export=view&amp;id=12v7TMj5JkE2xVDlpiTyr4hbT-qR3jACP",2)</f>
        <v/>
      </c>
      <c r="E161" s="5" t="str">
        <f>IMAGE("https://drive.google.com/uc?export=view&amp;id=12v7TMj5JkE2xVDlpiTyr4hbT-qR3jACP",1)</f>
        <v/>
      </c>
      <c r="F161" s="6" t="s">
        <v>855</v>
      </c>
      <c r="G161" s="6" t="s">
        <v>856</v>
      </c>
      <c r="H161" s="1" t="s">
        <v>128</v>
      </c>
      <c r="I161" s="7">
        <v>45933.39468211806</v>
      </c>
      <c r="J161" s="7">
        <v>45933.39477893518</v>
      </c>
      <c r="K161" s="1" t="s">
        <v>129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60.0" customHeight="1">
      <c r="A162" s="1" t="s">
        <v>857</v>
      </c>
      <c r="B162" s="1" t="s">
        <v>858</v>
      </c>
      <c r="C162" s="2" t="s">
        <v>859</v>
      </c>
      <c r="D162" s="5" t="str">
        <f>IMAGE("https://drive.google.com/uc?export=view&amp;id=1WHsmvO3G0t_al4jTOQmRnPJnrn_HYjY9",2)</f>
        <v/>
      </c>
      <c r="E162" s="5" t="str">
        <f>IMAGE("https://drive.google.com/uc?export=view&amp;id=1WHsmvO3G0t_al4jTOQmRnPJnrn_HYjY9",1)</f>
        <v/>
      </c>
      <c r="F162" s="6" t="s">
        <v>860</v>
      </c>
      <c r="G162" s="6" t="s">
        <v>861</v>
      </c>
      <c r="H162" s="1" t="s">
        <v>30</v>
      </c>
      <c r="I162" s="7">
        <v>45897.453559050926</v>
      </c>
      <c r="J162" s="7">
        <v>45913.549215335646</v>
      </c>
      <c r="K162" s="1" t="s">
        <v>31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60.0" customHeight="1">
      <c r="A163" s="1" t="s">
        <v>862</v>
      </c>
      <c r="B163" s="1" t="s">
        <v>863</v>
      </c>
      <c r="C163" s="2" t="s">
        <v>864</v>
      </c>
      <c r="D163" s="5" t="str">
        <f>IMAGE("https://drive.google.com/uc?export=view&amp;id=1yS9CcFriVPis59g4z26Nc7BgS3FnsfcL",2)</f>
        <v/>
      </c>
      <c r="E163" s="5" t="str">
        <f>IMAGE("https://drive.google.com/uc?export=view&amp;id=1yS9CcFriVPis59g4z26Nc7BgS3FnsfcL",1)</f>
        <v/>
      </c>
      <c r="F163" s="6" t="s">
        <v>865</v>
      </c>
      <c r="G163" s="6" t="s">
        <v>866</v>
      </c>
      <c r="H163" s="1" t="s">
        <v>63</v>
      </c>
      <c r="I163" s="7">
        <v>45828.54277640046</v>
      </c>
      <c r="J163" s="7">
        <v>45877.48461515046</v>
      </c>
      <c r="K163" s="1" t="s">
        <v>64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60.0" customHeight="1">
      <c r="A164" s="1" t="s">
        <v>867</v>
      </c>
      <c r="B164" s="1" t="s">
        <v>868</v>
      </c>
      <c r="C164" s="2" t="s">
        <v>869</v>
      </c>
      <c r="D164" s="5" t="str">
        <f>IMAGE("https://drive.google.com/uc?export=view&amp;id=1MHSuCakUPeqf1hVvq3K5TSCmux9e0Viv",2)</f>
        <v/>
      </c>
      <c r="E164" s="5" t="str">
        <f>IMAGE("https://drive.google.com/uc?export=view&amp;id=1MHSuCakUPeqf1hVvq3K5TSCmux9e0Viv",1)</f>
        <v/>
      </c>
      <c r="F164" s="6" t="s">
        <v>870</v>
      </c>
      <c r="G164" s="6" t="s">
        <v>871</v>
      </c>
      <c r="H164" s="1" t="s">
        <v>353</v>
      </c>
      <c r="I164" s="7">
        <v>45828.54415398148</v>
      </c>
      <c r="J164" s="7">
        <v>45860.700010555556</v>
      </c>
      <c r="K164" s="1" t="s">
        <v>354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60.0" customHeight="1">
      <c r="A165" s="1" t="s">
        <v>872</v>
      </c>
      <c r="B165" s="1" t="s">
        <v>873</v>
      </c>
      <c r="C165" s="2" t="s">
        <v>874</v>
      </c>
      <c r="D165" s="5" t="str">
        <f>IMAGE("https://drive.google.com/uc?export=view&amp;id=1471pNj_kp78wIS4KJX8sdDEb9Q0MssPo",2)</f>
        <v/>
      </c>
      <c r="E165" s="5" t="str">
        <f>IMAGE("https://drive.google.com/uc?export=view&amp;id=1471pNj_kp78wIS4KJX8sdDEb9Q0MssPo",1)</f>
        <v/>
      </c>
      <c r="F165" s="6" t="s">
        <v>875</v>
      </c>
      <c r="G165" s="6" t="s">
        <v>876</v>
      </c>
      <c r="H165" s="1" t="s">
        <v>353</v>
      </c>
      <c r="I165" s="7">
        <v>45828.544267916666</v>
      </c>
      <c r="J165" s="7">
        <v>45860.41655009259</v>
      </c>
      <c r="K165" s="1" t="s">
        <v>354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60.0" customHeight="1">
      <c r="A166" s="1" t="s">
        <v>877</v>
      </c>
      <c r="B166" s="1" t="s">
        <v>878</v>
      </c>
      <c r="C166" s="2" t="s">
        <v>879</v>
      </c>
      <c r="D166" s="5" t="str">
        <f>IMAGE("https://drive.google.com/uc?export=view&amp;id=1H6fbNOFH6pRqD5D8W6hspPez_gR_eMlK",2)</f>
        <v/>
      </c>
      <c r="E166" s="5" t="str">
        <f>IMAGE("https://drive.google.com/uc?export=view&amp;id=1H6fbNOFH6pRqD5D8W6hspPez_gR_eMlK",1)</f>
        <v/>
      </c>
      <c r="F166" s="6" t="s">
        <v>880</v>
      </c>
      <c r="G166" s="6" t="s">
        <v>881</v>
      </c>
      <c r="H166" s="1" t="s">
        <v>16</v>
      </c>
      <c r="I166" s="7">
        <v>45878.44882356482</v>
      </c>
      <c r="J166" s="7">
        <v>45890.46879569444</v>
      </c>
      <c r="K166" s="1" t="s">
        <v>17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60.0" customHeight="1">
      <c r="A167" s="1" t="s">
        <v>882</v>
      </c>
      <c r="B167" s="1" t="s">
        <v>883</v>
      </c>
      <c r="C167" s="2" t="s">
        <v>884</v>
      </c>
      <c r="D167" s="5" t="str">
        <f>IMAGE("https://drive.google.com/uc?export=view&amp;id=1kCvMOuq1TF5trcdyUDRAacslJ8Sg6J-Q",2)</f>
        <v/>
      </c>
      <c r="E167" s="5" t="str">
        <f>IMAGE("https://drive.google.com/uc?export=view&amp;id=1kCvMOuq1TF5trcdyUDRAacslJ8Sg6J-Q",1)</f>
        <v/>
      </c>
      <c r="F167" s="6" t="s">
        <v>885</v>
      </c>
      <c r="G167" s="6" t="s">
        <v>886</v>
      </c>
      <c r="H167" s="1" t="s">
        <v>23</v>
      </c>
      <c r="I167" s="7">
        <v>45898.58450199074</v>
      </c>
      <c r="J167" s="7">
        <v>45898.577627314815</v>
      </c>
      <c r="K167" s="1" t="s">
        <v>24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60.0" customHeight="1">
      <c r="A168" s="1" t="s">
        <v>887</v>
      </c>
      <c r="B168" s="1" t="s">
        <v>888</v>
      </c>
      <c r="C168" s="2" t="s">
        <v>889</v>
      </c>
      <c r="D168" s="5" t="str">
        <f>IMAGE("https://drive.google.com/uc?export=view&amp;id=1NK5KXjMuCQeZVenqqtEHgHgmK_3mqS1E",2)</f>
        <v/>
      </c>
      <c r="E168" s="5" t="str">
        <f>IMAGE("https://drive.google.com/uc?export=view&amp;id=1NK5KXjMuCQeZVenqqtEHgHgmK_3mqS1E",1)</f>
        <v/>
      </c>
      <c r="F168" s="6" t="s">
        <v>890</v>
      </c>
      <c r="G168" s="6" t="s">
        <v>891</v>
      </c>
      <c r="H168" s="1" t="s">
        <v>70</v>
      </c>
      <c r="I168" s="7">
        <v>45868.749461631945</v>
      </c>
      <c r="J168" s="7">
        <v>45868.7499650463</v>
      </c>
      <c r="K168" s="1" t="s">
        <v>71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60.0" customHeight="1">
      <c r="A169" s="1" t="s">
        <v>892</v>
      </c>
      <c r="B169" s="1" t="s">
        <v>893</v>
      </c>
      <c r="C169" s="2" t="s">
        <v>894</v>
      </c>
      <c r="D169" s="5" t="str">
        <f>IMAGE("https://drive.google.com/uc?export=view&amp;id=1gsJvxoKqUWk63gid6x4oR0C1bl-bhLrG",2)</f>
        <v/>
      </c>
      <c r="E169" s="5" t="str">
        <f>IMAGE("https://drive.google.com/uc?export=view&amp;id=1gsJvxoKqUWk63gid6x4oR0C1bl-bhLrG",1)</f>
        <v/>
      </c>
      <c r="F169" s="6" t="s">
        <v>895</v>
      </c>
      <c r="G169" s="6" t="s">
        <v>896</v>
      </c>
      <c r="H169" s="1" t="s">
        <v>92</v>
      </c>
      <c r="I169" s="7">
        <v>46005.938098425926</v>
      </c>
      <c r="J169" s="7">
        <v>46005.9350925926</v>
      </c>
      <c r="K169" s="1" t="s">
        <v>93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60.0" customHeight="1">
      <c r="A170" s="1" t="s">
        <v>897</v>
      </c>
      <c r="B170" s="1" t="s">
        <v>898</v>
      </c>
      <c r="C170" s="2" t="s">
        <v>899</v>
      </c>
      <c r="D170" s="5" t="str">
        <f>IMAGE("https://drive.google.com/uc?export=view&amp;id=1_RsVOuuuWiIZmtis5a61qMM9mYBjHf5_",2)</f>
        <v/>
      </c>
      <c r="E170" s="5" t="str">
        <f>IMAGE("https://drive.google.com/uc?export=view&amp;id=1_RsVOuuuWiIZmtis5a61qMM9mYBjHf5_",1)</f>
        <v/>
      </c>
      <c r="F170" s="6" t="s">
        <v>900</v>
      </c>
      <c r="G170" s="6" t="s">
        <v>901</v>
      </c>
      <c r="H170" s="1" t="s">
        <v>92</v>
      </c>
      <c r="I170" s="7">
        <v>46005.90365166667</v>
      </c>
      <c r="J170" s="7">
        <v>46005.85239583333</v>
      </c>
      <c r="K170" s="1" t="s">
        <v>93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60.0" customHeight="1">
      <c r="A171" s="1" t="s">
        <v>902</v>
      </c>
      <c r="B171" s="1" t="s">
        <v>903</v>
      </c>
      <c r="C171" s="2" t="s">
        <v>904</v>
      </c>
      <c r="D171" s="5" t="str">
        <f>IMAGE("https://drive.google.com/uc?export=view&amp;id=1VPcq4Hm72ctr1qPVNGgHllQ75p50fz9D",2)</f>
        <v/>
      </c>
      <c r="E171" s="5" t="str">
        <f>IMAGE("https://drive.google.com/uc?export=view&amp;id=1VPcq4Hm72ctr1qPVNGgHllQ75p50fz9D",1)</f>
        <v/>
      </c>
      <c r="F171" s="6" t="s">
        <v>905</v>
      </c>
      <c r="G171" s="6" t="s">
        <v>906</v>
      </c>
      <c r="H171" s="1" t="s">
        <v>92</v>
      </c>
      <c r="I171" s="7">
        <v>46005.943675787035</v>
      </c>
      <c r="J171" s="7">
        <v>46005.94327546297</v>
      </c>
      <c r="K171" s="1" t="s">
        <v>93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60.0" customHeight="1">
      <c r="A172" s="1" t="s">
        <v>907</v>
      </c>
      <c r="B172" s="1" t="s">
        <v>908</v>
      </c>
      <c r="C172" s="2" t="s">
        <v>909</v>
      </c>
      <c r="D172" s="5" t="str">
        <f>IMAGE("https://drive.google.com/uc?export=view&amp;id=1YUGptOR0wCm5mUkJdMwJLWoFj22G2ZHy",2)</f>
        <v/>
      </c>
      <c r="E172" s="5" t="str">
        <f>IMAGE("https://drive.google.com/uc?export=view&amp;id=1YUGptOR0wCm5mUkJdMwJLWoFj22G2ZHy",1)</f>
        <v/>
      </c>
      <c r="F172" s="6" t="s">
        <v>910</v>
      </c>
      <c r="G172" s="6" t="s">
        <v>911</v>
      </c>
      <c r="H172" s="1" t="s">
        <v>92</v>
      </c>
      <c r="I172" s="7">
        <v>46005.96953096065</v>
      </c>
      <c r="J172" s="7">
        <v>46005.968831018516</v>
      </c>
      <c r="K172" s="1" t="s">
        <v>93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60.0" customHeight="1">
      <c r="A173" s="1" t="s">
        <v>912</v>
      </c>
      <c r="B173" s="1" t="s">
        <v>913</v>
      </c>
      <c r="C173" s="2" t="s">
        <v>914</v>
      </c>
      <c r="D173" s="5" t="str">
        <f>IMAGE("https://drive.google.com/uc?export=view&amp;id=1G0EZNbMeHXjiHjo_ZoPy9cnwKgkkEgTO",2)</f>
        <v/>
      </c>
      <c r="E173" s="5" t="str">
        <f>IMAGE("https://drive.google.com/uc?export=view&amp;id=1G0EZNbMeHXjiHjo_ZoPy9cnwKgkkEgTO",1)</f>
        <v/>
      </c>
      <c r="F173" s="6" t="s">
        <v>915</v>
      </c>
      <c r="G173" s="6" t="s">
        <v>916</v>
      </c>
      <c r="H173" s="1" t="s">
        <v>92</v>
      </c>
      <c r="I173" s="7">
        <v>46005.969339351854</v>
      </c>
      <c r="J173" s="7">
        <v>46005.96513888889</v>
      </c>
      <c r="K173" s="1" t="s">
        <v>93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60.0" customHeight="1">
      <c r="A174" s="1" t="s">
        <v>917</v>
      </c>
      <c r="B174" s="1" t="s">
        <v>918</v>
      </c>
      <c r="C174" s="2" t="s">
        <v>919</v>
      </c>
      <c r="D174" s="5" t="str">
        <f>IMAGE("https://drive.google.com/uc?export=view&amp;id=13H2ZQEZK_0ar3ojQA1gRjtp_zM86I6Gw",2)</f>
        <v/>
      </c>
      <c r="E174" s="5" t="str">
        <f>IMAGE("https://drive.google.com/uc?export=view&amp;id=13H2ZQEZK_0ar3ojQA1gRjtp_zM86I6Gw",1)</f>
        <v/>
      </c>
      <c r="F174" s="6" t="s">
        <v>920</v>
      </c>
      <c r="G174" s="6" t="s">
        <v>921</v>
      </c>
      <c r="H174" s="1" t="s">
        <v>449</v>
      </c>
      <c r="I174" s="7">
        <v>46009.40578194444</v>
      </c>
      <c r="J174" s="7">
        <v>46008.75141203703</v>
      </c>
      <c r="K174" s="1" t="s">
        <v>450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60.0" customHeight="1">
      <c r="A175" s="1" t="s">
        <v>922</v>
      </c>
      <c r="B175" s="1" t="s">
        <v>923</v>
      </c>
      <c r="C175" s="2" t="s">
        <v>924</v>
      </c>
      <c r="D175" s="5" t="str">
        <f>IMAGE("https://drive.google.com/uc?export=view&amp;id=1jiIxugB5dhlHYUBNX98i4BHRJwmoURGb",2)</f>
        <v/>
      </c>
      <c r="E175" s="5" t="str">
        <f>IMAGE("https://drive.google.com/uc?export=view&amp;id=1jiIxugB5dhlHYUBNX98i4BHRJwmoURGb",1)</f>
        <v/>
      </c>
      <c r="F175" s="6" t="s">
        <v>925</v>
      </c>
      <c r="G175" s="6" t="s">
        <v>926</v>
      </c>
      <c r="H175" s="1" t="s">
        <v>353</v>
      </c>
      <c r="I175" s="7">
        <v>45828.54439924769</v>
      </c>
      <c r="J175" s="7">
        <v>45860.70014540509</v>
      </c>
      <c r="K175" s="1" t="s">
        <v>354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60.0" customHeight="1">
      <c r="A176" s="1" t="s">
        <v>927</v>
      </c>
      <c r="B176" s="1" t="s">
        <v>928</v>
      </c>
      <c r="C176" s="2" t="s">
        <v>929</v>
      </c>
      <c r="D176" s="5" t="str">
        <f>IMAGE("https://drive.google.com/uc?export=view&amp;id=11JNu5s17qiJn3kYtvW43fwaQMRekJMu0",2)</f>
        <v/>
      </c>
      <c r="E176" s="5" t="str">
        <f>IMAGE("https://drive.google.com/uc?export=view&amp;id=11JNu5s17qiJn3kYtvW43fwaQMRekJMu0",1)</f>
        <v/>
      </c>
      <c r="F176" s="6" t="s">
        <v>930</v>
      </c>
      <c r="G176" s="6" t="s">
        <v>931</v>
      </c>
      <c r="H176" s="1" t="s">
        <v>16</v>
      </c>
      <c r="I176" s="7">
        <v>45872.7847327662</v>
      </c>
      <c r="J176" s="7">
        <v>45890.46891800926</v>
      </c>
      <c r="K176" s="1" t="s">
        <v>17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60.0" customHeight="1">
      <c r="A177" s="1" t="s">
        <v>932</v>
      </c>
      <c r="B177" s="1" t="s">
        <v>933</v>
      </c>
      <c r="C177" s="2" t="s">
        <v>934</v>
      </c>
      <c r="D177" s="5" t="str">
        <f>IMAGE("https://drive.google.com/uc?export=view&amp;id=1bQstKFIW6gVLPqDy-pDILNRZ3uF9Ch9c",2)</f>
        <v/>
      </c>
      <c r="E177" s="5" t="str">
        <f>IMAGE("https://drive.google.com/uc?export=view&amp;id=1bQstKFIW6gVLPqDy-pDILNRZ3uF9Ch9c",1)</f>
        <v/>
      </c>
      <c r="F177" s="6" t="s">
        <v>935</v>
      </c>
      <c r="G177" s="6" t="s">
        <v>936</v>
      </c>
      <c r="H177" s="1" t="s">
        <v>23</v>
      </c>
      <c r="I177" s="7">
        <v>45898.58444832176</v>
      </c>
      <c r="J177" s="7">
        <v>45898.577627314815</v>
      </c>
      <c r="K177" s="1" t="s">
        <v>24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60.0" customHeight="1">
      <c r="A178" s="1" t="s">
        <v>937</v>
      </c>
      <c r="B178" s="1" t="s">
        <v>938</v>
      </c>
      <c r="C178" s="2" t="s">
        <v>939</v>
      </c>
      <c r="D178" s="5" t="str">
        <f>IMAGE("https://drive.google.com/uc?export=view&amp;id=1ltfNj0fYZI35tndIDRD9L5zHpSRvrsOT",2)</f>
        <v/>
      </c>
      <c r="E178" s="5" t="str">
        <f>IMAGE("https://drive.google.com/uc?export=view&amp;id=1ltfNj0fYZI35tndIDRD9L5zHpSRvrsOT",1)</f>
        <v/>
      </c>
      <c r="F178" s="6" t="s">
        <v>940</v>
      </c>
      <c r="G178" s="6" t="s">
        <v>941</v>
      </c>
      <c r="H178" s="1" t="s">
        <v>16</v>
      </c>
      <c r="I178" s="7">
        <v>45890.45795925926</v>
      </c>
      <c r="J178" s="7">
        <v>45888.76755787037</v>
      </c>
      <c r="K178" s="1" t="s">
        <v>17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60.0" customHeight="1">
      <c r="A179" s="1" t="s">
        <v>942</v>
      </c>
      <c r="B179" s="1" t="s">
        <v>943</v>
      </c>
      <c r="C179" s="2" t="s">
        <v>944</v>
      </c>
      <c r="D179" s="5" t="str">
        <f>IMAGE("https://drive.google.com/uc?export=view&amp;id=1DrTuxE1Lpja5u8zt--m71EXnMJPJXE81",2)</f>
        <v/>
      </c>
      <c r="E179" s="5" t="str">
        <f>IMAGE("https://drive.google.com/uc?export=view&amp;id=1DrTuxE1Lpja5u8zt--m71EXnMJPJXE81",1)</f>
        <v/>
      </c>
      <c r="F179" s="6" t="s">
        <v>945</v>
      </c>
      <c r="G179" s="6" t="s">
        <v>946</v>
      </c>
      <c r="H179" s="1" t="s">
        <v>23</v>
      </c>
      <c r="I179" s="7">
        <v>45898.58446521991</v>
      </c>
      <c r="J179" s="7">
        <v>45898.577627314815</v>
      </c>
      <c r="K179" s="1" t="s">
        <v>24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60.0" customHeight="1">
      <c r="A180" s="1" t="s">
        <v>947</v>
      </c>
      <c r="B180" s="1" t="s">
        <v>948</v>
      </c>
      <c r="C180" s="2" t="s">
        <v>949</v>
      </c>
      <c r="D180" s="5" t="str">
        <f>IMAGE("https://drive.google.com/uc?export=view&amp;id=123IZnye-EEVJEUTtvL1Z5TcNbJ0htL43",2)</f>
        <v/>
      </c>
      <c r="E180" s="5" t="str">
        <f>IMAGE("https://drive.google.com/uc?export=view&amp;id=123IZnye-EEVJEUTtvL1Z5TcNbJ0htL43",1)</f>
        <v/>
      </c>
      <c r="F180" s="6" t="s">
        <v>950</v>
      </c>
      <c r="G180" s="6" t="s">
        <v>951</v>
      </c>
      <c r="H180" s="1" t="s">
        <v>16</v>
      </c>
      <c r="I180" s="7">
        <v>45878.44896256944</v>
      </c>
      <c r="J180" s="7">
        <v>45890.46908354167</v>
      </c>
      <c r="K180" s="1" t="s">
        <v>17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60.0" customHeight="1">
      <c r="A181" s="1" t="s">
        <v>952</v>
      </c>
      <c r="B181" s="1" t="s">
        <v>953</v>
      </c>
      <c r="C181" s="2" t="s">
        <v>954</v>
      </c>
      <c r="D181" s="5" t="str">
        <f>IMAGE("https://drive.google.com/uc?export=view&amp;id=1pdZ0Xo18Hs4vlFnMLZfG0CNqTqqUJMB3",2)</f>
        <v/>
      </c>
      <c r="E181" s="5" t="str">
        <f>IMAGE("https://drive.google.com/uc?export=view&amp;id=1pdZ0Xo18Hs4vlFnMLZfG0CNqTqqUJMB3",1)</f>
        <v/>
      </c>
      <c r="F181" s="6" t="s">
        <v>955</v>
      </c>
      <c r="G181" s="6" t="s">
        <v>956</v>
      </c>
      <c r="H181" s="1" t="s">
        <v>23</v>
      </c>
      <c r="I181" s="7">
        <v>45898.58440921296</v>
      </c>
      <c r="J181" s="7">
        <v>45898.57763888889</v>
      </c>
      <c r="K181" s="1" t="s">
        <v>24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60.0" customHeight="1">
      <c r="A182" s="1" t="s">
        <v>957</v>
      </c>
      <c r="B182" s="1" t="s">
        <v>958</v>
      </c>
      <c r="C182" s="2" t="s">
        <v>959</v>
      </c>
      <c r="D182" s="5" t="str">
        <f>IMAGE("https://drive.google.com/uc?export=view&amp;id=10rNTdtukEnQKv8hEnwo1dT44h3QqgkyW",2)</f>
        <v/>
      </c>
      <c r="E182" s="5" t="str">
        <f>IMAGE("https://drive.google.com/uc?export=view&amp;id=10rNTdtukEnQKv8hEnwo1dT44h3QqgkyW",1)</f>
        <v/>
      </c>
      <c r="F182" s="6" t="s">
        <v>960</v>
      </c>
      <c r="G182" s="6" t="s">
        <v>961</v>
      </c>
      <c r="H182" s="1" t="s">
        <v>30</v>
      </c>
      <c r="I182" s="7">
        <v>45913.54348703704</v>
      </c>
      <c r="J182" s="7">
        <v>45897.456828703704</v>
      </c>
      <c r="K182" s="1" t="s">
        <v>31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60.0" customHeight="1">
      <c r="A183" s="1" t="s">
        <v>962</v>
      </c>
      <c r="B183" s="1" t="s">
        <v>963</v>
      </c>
      <c r="C183" s="2" t="s">
        <v>964</v>
      </c>
      <c r="D183" s="5" t="str">
        <f>IMAGE("https://drive.google.com/uc?export=view&amp;id=13DF52PFvLEhxQcUeoSBHJoGI9pPEB_Wk",2)</f>
        <v/>
      </c>
      <c r="E183" s="5" t="str">
        <f>IMAGE("https://drive.google.com/uc?export=view&amp;id=13DF52PFvLEhxQcUeoSBHJoGI9pPEB_Wk",1)</f>
        <v/>
      </c>
      <c r="F183" s="6" t="s">
        <v>965</v>
      </c>
      <c r="G183" s="6" t="s">
        <v>966</v>
      </c>
      <c r="H183" s="1" t="s">
        <v>92</v>
      </c>
      <c r="I183" s="7">
        <v>46005.9389743287</v>
      </c>
      <c r="J183" s="7">
        <v>46005.894270833334</v>
      </c>
      <c r="K183" s="1" t="s">
        <v>93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60.0" customHeight="1">
      <c r="A184" s="1" t="s">
        <v>967</v>
      </c>
      <c r="B184" s="1" t="s">
        <v>968</v>
      </c>
      <c r="C184" s="2" t="s">
        <v>969</v>
      </c>
      <c r="D184" s="5" t="str">
        <f>IMAGE("https://drive.google.com/uc?export=view&amp;id=13DHQmm9SfQ3b9WcQSiytuR3aTj-NzY47",2)</f>
        <v/>
      </c>
      <c r="E184" s="5" t="str">
        <f>IMAGE("https://drive.google.com/uc?export=view&amp;id=13DHQmm9SfQ3b9WcQSiytuR3aTj-NzY47",1)</f>
        <v/>
      </c>
      <c r="F184" s="6" t="s">
        <v>970</v>
      </c>
      <c r="G184" s="6" t="s">
        <v>971</v>
      </c>
      <c r="H184" s="1" t="s">
        <v>63</v>
      </c>
      <c r="I184" s="7">
        <v>45828.542787928236</v>
      </c>
      <c r="J184" s="7">
        <v>45860.691339108795</v>
      </c>
      <c r="K184" s="1" t="s">
        <v>64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60.0" customHeight="1">
      <c r="A185" s="1" t="s">
        <v>972</v>
      </c>
      <c r="B185" s="1" t="s">
        <v>973</v>
      </c>
      <c r="C185" s="2" t="s">
        <v>974</v>
      </c>
      <c r="D185" s="5" t="str">
        <f>IMAGE("https://drive.google.com/uc?export=view&amp;id=1Z5LtI-uzQYYbi2NDdlCz5FOIk_6H1lBq",2)</f>
        <v/>
      </c>
      <c r="E185" s="5" t="str">
        <f>IMAGE("https://drive.google.com/uc?export=view&amp;id=1Z5LtI-uzQYYbi2NDdlCz5FOIk_6H1lBq",1)</f>
        <v/>
      </c>
      <c r="F185" s="6" t="s">
        <v>975</v>
      </c>
      <c r="G185" s="6" t="s">
        <v>976</v>
      </c>
      <c r="H185" s="1" t="s">
        <v>92</v>
      </c>
      <c r="I185" s="7">
        <v>45841.51821043981</v>
      </c>
      <c r="J185" s="7">
        <v>45860.70028133102</v>
      </c>
      <c r="K185" s="1" t="s">
        <v>93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60.0" customHeight="1">
      <c r="A186" s="1" t="s">
        <v>977</v>
      </c>
      <c r="B186" s="1" t="s">
        <v>978</v>
      </c>
      <c r="C186" s="2" t="s">
        <v>979</v>
      </c>
      <c r="D186" s="5" t="str">
        <f>IMAGE("https://drive.google.com/uc?export=view&amp;id=1g33dS84Is6d4w9I_3k85MwqWoqY8cj7s",2)</f>
        <v/>
      </c>
      <c r="E186" s="5" t="str">
        <f>IMAGE("https://drive.google.com/uc?export=view&amp;id=1g33dS84Is6d4w9I_3k85MwqWoqY8cj7s",1)</f>
        <v/>
      </c>
      <c r="F186" s="6" t="s">
        <v>980</v>
      </c>
      <c r="G186" s="6" t="s">
        <v>981</v>
      </c>
      <c r="H186" s="1" t="s">
        <v>92</v>
      </c>
      <c r="I186" s="7">
        <v>45841.51838238426</v>
      </c>
      <c r="J186" s="7">
        <v>45860.70043409722</v>
      </c>
      <c r="K186" s="1" t="s">
        <v>93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60.0" customHeight="1">
      <c r="A187" s="1" t="s">
        <v>982</v>
      </c>
      <c r="B187" s="1" t="s">
        <v>983</v>
      </c>
      <c r="C187" s="2" t="s">
        <v>984</v>
      </c>
      <c r="D187" s="5" t="str">
        <f>IMAGE("https://drive.google.com/uc?export=view&amp;id=1BkLNmpnk7EU7owlnqs1GY-hIGTlyaEJ1",2)</f>
        <v/>
      </c>
      <c r="E187" s="5" t="str">
        <f>IMAGE("https://drive.google.com/uc?export=view&amp;id=1BkLNmpnk7EU7owlnqs1GY-hIGTlyaEJ1",1)</f>
        <v/>
      </c>
      <c r="F187" s="6" t="s">
        <v>985</v>
      </c>
      <c r="G187" s="6" t="s">
        <v>986</v>
      </c>
      <c r="H187" s="1" t="s">
        <v>304</v>
      </c>
      <c r="I187" s="7">
        <v>45860.69569439815</v>
      </c>
      <c r="J187" s="7">
        <v>45924.57194550926</v>
      </c>
      <c r="K187" s="1" t="s">
        <v>305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60.0" customHeight="1">
      <c r="A188" s="1" t="s">
        <v>982</v>
      </c>
      <c r="B188" s="1" t="s">
        <v>983</v>
      </c>
      <c r="C188" s="2" t="s">
        <v>987</v>
      </c>
      <c r="D188" s="5" t="str">
        <f>IMAGE("https://drive.google.com/uc?export=view&amp;id=1tAcctdcdUiovI0r3W_34qj3x-dvmCN7d",2)</f>
        <v/>
      </c>
      <c r="E188" s="5" t="str">
        <f>IMAGE("https://drive.google.com/uc?export=view&amp;id=1tAcctdcdUiovI0r3W_34qj3x-dvmCN7d",1)</f>
        <v/>
      </c>
      <c r="F188" s="6" t="s">
        <v>988</v>
      </c>
      <c r="G188" s="6" t="s">
        <v>989</v>
      </c>
      <c r="H188" s="1" t="s">
        <v>16</v>
      </c>
      <c r="I188" s="7">
        <v>45890.4580746412</v>
      </c>
      <c r="J188" s="7">
        <v>45887.51960648148</v>
      </c>
      <c r="K188" s="1" t="s">
        <v>17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60.0" customHeight="1">
      <c r="A189" s="1" t="s">
        <v>990</v>
      </c>
      <c r="B189" s="1" t="s">
        <v>991</v>
      </c>
      <c r="C189" s="2" t="s">
        <v>992</v>
      </c>
      <c r="D189" s="5" t="str">
        <f>IMAGE("https://drive.google.com/uc?export=view&amp;id=1Qf11M_7TDVPamy6Z9WJ7xG96no1l0o2o",2)</f>
        <v/>
      </c>
      <c r="E189" s="5" t="str">
        <f>IMAGE("https://drive.google.com/uc?export=view&amp;id=1Qf11M_7TDVPamy6Z9WJ7xG96no1l0o2o",1)</f>
        <v/>
      </c>
      <c r="F189" s="6" t="s">
        <v>993</v>
      </c>
      <c r="G189" s="6" t="s">
        <v>994</v>
      </c>
      <c r="H189" s="1" t="s">
        <v>23</v>
      </c>
      <c r="I189" s="7">
        <v>45898.58447459491</v>
      </c>
      <c r="J189" s="7">
        <v>45898.57763888889</v>
      </c>
      <c r="K189" s="1" t="s">
        <v>24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60.0" customHeight="1">
      <c r="A190" s="1" t="s">
        <v>995</v>
      </c>
      <c r="B190" s="1" t="s">
        <v>996</v>
      </c>
      <c r="C190" s="2" t="s">
        <v>997</v>
      </c>
      <c r="D190" s="5" t="str">
        <f>IMAGE("https://drive.google.com/uc?export=view&amp;id=1BF6bUvTDA89QSAHeWZE8Zlud8DRdFrSw",2)</f>
        <v/>
      </c>
      <c r="E190" s="5" t="str">
        <f>IMAGE("https://drive.google.com/uc?export=view&amp;id=1BF6bUvTDA89QSAHeWZE8Zlud8DRdFrSw",1)</f>
        <v/>
      </c>
      <c r="F190" s="6" t="s">
        <v>998</v>
      </c>
      <c r="G190" s="6" t="s">
        <v>999</v>
      </c>
      <c r="H190" s="1" t="s">
        <v>92</v>
      </c>
      <c r="I190" s="7">
        <v>46017.52217899305</v>
      </c>
      <c r="J190" s="7">
        <v>46010.773252314815</v>
      </c>
      <c r="K190" s="1" t="s">
        <v>93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60.0" customHeight="1">
      <c r="A191" s="1" t="s">
        <v>1000</v>
      </c>
      <c r="B191" s="1" t="s">
        <v>1001</v>
      </c>
      <c r="C191" s="2" t="s">
        <v>1002</v>
      </c>
      <c r="D191" s="5" t="str">
        <f>IMAGE("https://drive.google.com/uc?export=view&amp;id=1KC1Bpw6QgjkjxsEnHCYq4s0DeIcXgSes",2)</f>
        <v/>
      </c>
      <c r="E191" s="5" t="str">
        <f>IMAGE("https://drive.google.com/uc?export=view&amp;id=1KC1Bpw6QgjkjxsEnHCYq4s0DeIcXgSes",1)</f>
        <v/>
      </c>
      <c r="F191" s="6" t="s">
        <v>1003</v>
      </c>
      <c r="G191" s="6" t="s">
        <v>1004</v>
      </c>
      <c r="H191" s="1" t="s">
        <v>92</v>
      </c>
      <c r="I191" s="7">
        <v>46017.52231707176</v>
      </c>
      <c r="J191" s="7">
        <v>46010.77730324074</v>
      </c>
      <c r="K191" s="1" t="s">
        <v>93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60.0" customHeight="1">
      <c r="A192" s="1" t="s">
        <v>1005</v>
      </c>
      <c r="B192" s="1" t="s">
        <v>1006</v>
      </c>
      <c r="C192" s="2" t="s">
        <v>1007</v>
      </c>
      <c r="D192" s="5" t="str">
        <f>IMAGE("https://drive.google.com/uc?export=view&amp;id=19Ye_cM7wLKhfg35mEgs3A8MohoraP2Sc",2)</f>
        <v/>
      </c>
      <c r="E192" s="5" t="str">
        <f>IMAGE("https://drive.google.com/uc?export=view&amp;id=19Ye_cM7wLKhfg35mEgs3A8MohoraP2Sc",1)</f>
        <v/>
      </c>
      <c r="F192" s="6" t="s">
        <v>1008</v>
      </c>
      <c r="G192" s="6" t="s">
        <v>1009</v>
      </c>
      <c r="H192" s="1" t="s">
        <v>353</v>
      </c>
      <c r="I192" s="7">
        <v>45828.544532395834</v>
      </c>
      <c r="J192" s="7">
        <v>45857.04668</v>
      </c>
      <c r="K192" s="1" t="s">
        <v>354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60.0" customHeight="1">
      <c r="A193" s="1" t="s">
        <v>1010</v>
      </c>
      <c r="B193" s="1" t="s">
        <v>1011</v>
      </c>
      <c r="C193" s="2" t="s">
        <v>1012</v>
      </c>
      <c r="D193" s="5" t="str">
        <f>IMAGE("https://drive.google.com/uc?export=view&amp;id=1dPpsNA-e03Roz4FyS7WOVlvZgcvuX7e2",2)</f>
        <v/>
      </c>
      <c r="E193" s="5" t="str">
        <f>IMAGE("https://drive.google.com/uc?export=view&amp;id=1dPpsNA-e03Roz4FyS7WOVlvZgcvuX7e2",1)</f>
        <v/>
      </c>
      <c r="F193" s="6" t="s">
        <v>1013</v>
      </c>
      <c r="G193" s="6" t="s">
        <v>1014</v>
      </c>
      <c r="H193" s="1" t="s">
        <v>353</v>
      </c>
      <c r="I193" s="7">
        <v>45828.54740019676</v>
      </c>
      <c r="J193" s="7">
        <v>45857.046408229166</v>
      </c>
      <c r="K193" s="1" t="s">
        <v>354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60.0" customHeight="1">
      <c r="A194" s="1" t="s">
        <v>1015</v>
      </c>
      <c r="B194" s="1" t="s">
        <v>1016</v>
      </c>
      <c r="C194" s="2" t="s">
        <v>1017</v>
      </c>
      <c r="D194" s="5" t="str">
        <f>IMAGE("https://drive.google.com/uc?export=view&amp;id=1HT_DQ2AY2qDbs8SHox2R5j0pjPALOVvL",2)</f>
        <v/>
      </c>
      <c r="E194" s="5" t="str">
        <f>IMAGE("https://drive.google.com/uc?export=view&amp;id=1HT_DQ2AY2qDbs8SHox2R5j0pjPALOVvL",1)</f>
        <v/>
      </c>
      <c r="F194" s="6" t="s">
        <v>1018</v>
      </c>
      <c r="G194" s="6" t="s">
        <v>1019</v>
      </c>
      <c r="H194" s="1" t="s">
        <v>353</v>
      </c>
      <c r="I194" s="7">
        <v>45828.54465826389</v>
      </c>
      <c r="J194" s="7">
        <v>45857.04679231481</v>
      </c>
      <c r="K194" s="1" t="s">
        <v>354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60.0" customHeight="1">
      <c r="A195" s="1" t="s">
        <v>1020</v>
      </c>
      <c r="B195" s="1" t="s">
        <v>1021</v>
      </c>
      <c r="C195" s="2" t="s">
        <v>1022</v>
      </c>
      <c r="D195" s="5" t="str">
        <f>IMAGE("https://drive.google.com/uc?export=view&amp;id=1qHWI4Yk9ucWakZLarwXdhKL0-vJwKHP6",2)</f>
        <v/>
      </c>
      <c r="E195" s="5" t="str">
        <f>IMAGE("https://drive.google.com/uc?export=view&amp;id=1qHWI4Yk9ucWakZLarwXdhKL0-vJwKHP6",1)</f>
        <v/>
      </c>
      <c r="F195" s="6" t="s">
        <v>1023</v>
      </c>
      <c r="G195" s="6" t="s">
        <v>1024</v>
      </c>
      <c r="H195" s="1" t="s">
        <v>92</v>
      </c>
      <c r="I195" s="7">
        <v>46009.44425627315</v>
      </c>
      <c r="J195" s="7">
        <v>46009.44373842592</v>
      </c>
      <c r="K195" s="1" t="s">
        <v>93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60.0" customHeight="1">
      <c r="A196" s="1" t="s">
        <v>1025</v>
      </c>
      <c r="B196" s="1" t="s">
        <v>1026</v>
      </c>
      <c r="C196" s="2" t="s">
        <v>1027</v>
      </c>
      <c r="D196" s="5" t="str">
        <f>IMAGE("https://drive.google.com/uc?export=view&amp;id=1Fw5nwkuaDgYOF4zwdSXTtbHj6FajA7MN",2)</f>
        <v/>
      </c>
      <c r="E196" s="5" t="str">
        <f>IMAGE("https://drive.google.com/uc?export=view&amp;id=1Fw5nwkuaDgYOF4zwdSXTtbHj6FajA7MN",1)</f>
        <v/>
      </c>
      <c r="F196" s="6" t="s">
        <v>1028</v>
      </c>
      <c r="G196" s="6" t="s">
        <v>1029</v>
      </c>
      <c r="H196" s="1" t="s">
        <v>16</v>
      </c>
      <c r="I196" s="7">
        <v>45872.78484975694</v>
      </c>
      <c r="J196" s="7">
        <v>45890.46922255787</v>
      </c>
      <c r="K196" s="1" t="s">
        <v>17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60.0" customHeight="1">
      <c r="A197" s="1" t="s">
        <v>1030</v>
      </c>
      <c r="B197" s="1" t="s">
        <v>1031</v>
      </c>
      <c r="C197" s="2" t="s">
        <v>1032</v>
      </c>
      <c r="D197" s="5" t="str">
        <f>IMAGE("https://drive.google.com/uc?export=view&amp;id=1l0epeaSIWMbNz_b4cvDMMHqbwPHqpnlK",2)</f>
        <v/>
      </c>
      <c r="E197" s="5" t="str">
        <f>IMAGE("https://drive.google.com/uc?export=view&amp;id=1l0epeaSIWMbNz_b4cvDMMHqbwPHqpnlK",1)</f>
        <v/>
      </c>
      <c r="F197" s="6" t="s">
        <v>1033</v>
      </c>
      <c r="G197" s="6" t="s">
        <v>1034</v>
      </c>
      <c r="H197" s="1" t="s">
        <v>23</v>
      </c>
      <c r="I197" s="7">
        <v>45898.584437638885</v>
      </c>
      <c r="J197" s="7">
        <v>45898.57763888889</v>
      </c>
      <c r="K197" s="1" t="s">
        <v>24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60.0" customHeight="1">
      <c r="A198" s="1" t="s">
        <v>1035</v>
      </c>
      <c r="B198" s="1" t="s">
        <v>1036</v>
      </c>
      <c r="C198" s="2" t="s">
        <v>1037</v>
      </c>
      <c r="D198" s="5" t="str">
        <f>IMAGE("https://drive.google.com/uc?export=view&amp;id=1McxBba3FEeX_c4-4qmoTdegBF4YIGZy1",2)</f>
        <v/>
      </c>
      <c r="E198" s="5" t="str">
        <f>IMAGE("https://drive.google.com/uc?export=view&amp;id=1McxBba3FEeX_c4-4qmoTdegBF4YIGZy1",1)</f>
        <v/>
      </c>
      <c r="F198" s="6" t="s">
        <v>1038</v>
      </c>
      <c r="G198" s="6" t="s">
        <v>1039</v>
      </c>
      <c r="H198" s="1" t="s">
        <v>114</v>
      </c>
      <c r="I198" s="7">
        <v>45828.542747071755</v>
      </c>
      <c r="J198" s="7">
        <v>45860.69134337963</v>
      </c>
      <c r="K198" s="1" t="s">
        <v>115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60.0" customHeight="1">
      <c r="A199" s="1" t="s">
        <v>1040</v>
      </c>
      <c r="B199" s="1" t="s">
        <v>1041</v>
      </c>
      <c r="C199" s="2" t="s">
        <v>1042</v>
      </c>
      <c r="D199" s="5" t="str">
        <f>IMAGE("https://drive.google.com/uc?export=view&amp;id=19XPbEP0mnG1BmOCdBdmETuz2gOtYw8Kb",2)</f>
        <v/>
      </c>
      <c r="E199" s="5" t="str">
        <f>IMAGE("https://drive.google.com/uc?export=view&amp;id=19XPbEP0mnG1BmOCdBdmETuz2gOtYw8Kb",1)</f>
        <v/>
      </c>
      <c r="F199" s="6" t="s">
        <v>1043</v>
      </c>
      <c r="G199" s="6" t="s">
        <v>1044</v>
      </c>
      <c r="H199" s="1" t="s">
        <v>646</v>
      </c>
      <c r="I199" s="7">
        <v>46068.729757256944</v>
      </c>
      <c r="J199" s="7">
        <v>46068.61771990741</v>
      </c>
      <c r="K199" s="1" t="s">
        <v>647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60.0" customHeight="1">
      <c r="A200" s="1" t="s">
        <v>1045</v>
      </c>
      <c r="B200" s="1" t="s">
        <v>1046</v>
      </c>
      <c r="C200" s="2" t="s">
        <v>1047</v>
      </c>
      <c r="D200" s="5" t="str">
        <f>IMAGE("https://drive.google.com/uc?export=view&amp;id=1bN1aZ_rURJtsu9zrQlmk8zf0D12P2gIE",2)</f>
        <v/>
      </c>
      <c r="E200" s="5" t="str">
        <f>IMAGE("https://drive.google.com/uc?export=view&amp;id=1bN1aZ_rURJtsu9zrQlmk8zf0D12P2gIE",1)</f>
        <v/>
      </c>
      <c r="F200" s="6" t="s">
        <v>1048</v>
      </c>
      <c r="G200" s="6" t="s">
        <v>1049</v>
      </c>
      <c r="H200" s="1" t="s">
        <v>820</v>
      </c>
      <c r="I200" s="7">
        <v>46017.51788274306</v>
      </c>
      <c r="J200" s="7">
        <v>46012.69528935185</v>
      </c>
      <c r="K200" s="1" t="s">
        <v>821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60.0" customHeight="1">
      <c r="A201" s="1" t="s">
        <v>1050</v>
      </c>
      <c r="B201" s="1" t="s">
        <v>1051</v>
      </c>
      <c r="C201" s="2" t="s">
        <v>1052</v>
      </c>
      <c r="D201" s="5" t="str">
        <f>IMAGE("https://drive.google.com/uc?export=view&amp;id=1mUR6-lSBNUK5k3h-ET_HbE5iYyVJ0wXp",2)</f>
        <v/>
      </c>
      <c r="E201" s="5" t="str">
        <f>IMAGE("https://drive.google.com/uc?export=view&amp;id=1mUR6-lSBNUK5k3h-ET_HbE5iYyVJ0wXp",1)</f>
        <v/>
      </c>
      <c r="F201" s="6" t="s">
        <v>1053</v>
      </c>
      <c r="G201" s="6" t="s">
        <v>1054</v>
      </c>
      <c r="H201" s="1" t="s">
        <v>1055</v>
      </c>
      <c r="I201" s="7">
        <v>46080.64807413194</v>
      </c>
      <c r="J201" s="7">
        <v>46080.32645833334</v>
      </c>
      <c r="K201" s="1" t="s">
        <v>1056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60.0" customHeight="1">
      <c r="A202" s="1" t="s">
        <v>1057</v>
      </c>
      <c r="B202" s="1" t="s">
        <v>1058</v>
      </c>
      <c r="C202" s="2" t="s">
        <v>1059</v>
      </c>
      <c r="D202" s="5" t="str">
        <f>IMAGE("https://drive.google.com/uc?export=view&amp;id=1rDNMqdp40yhzm9QVtGdhB1aZL6FBw61m",2)</f>
        <v/>
      </c>
      <c r="E202" s="5" t="str">
        <f>IMAGE("https://drive.google.com/uc?export=view&amp;id=1rDNMqdp40yhzm9QVtGdhB1aZL6FBw61m",1)</f>
        <v/>
      </c>
      <c r="F202" s="6" t="s">
        <v>1060</v>
      </c>
      <c r="G202" s="6" t="s">
        <v>1061</v>
      </c>
      <c r="H202" s="1" t="s">
        <v>1055</v>
      </c>
      <c r="I202" s="7">
        <v>46080.653838032405</v>
      </c>
      <c r="J202" s="7">
        <v>46080.34155092592</v>
      </c>
      <c r="K202" s="1" t="s">
        <v>1056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60.0" customHeight="1">
      <c r="A203" s="1" t="s">
        <v>1062</v>
      </c>
      <c r="B203" s="1" t="s">
        <v>449</v>
      </c>
      <c r="C203" s="2" t="s">
        <v>1063</v>
      </c>
      <c r="D203" s="5" t="str">
        <f>IMAGE("https://drive.google.com/uc?export=view&amp;id=17SqWFrlp5Rj-U9-gMa5qqdAq8ZxnbuSJ",2)</f>
        <v/>
      </c>
      <c r="E203" s="5" t="str">
        <f>IMAGE("https://drive.google.com/uc?export=view&amp;id=17SqWFrlp5Rj-U9-gMa5qqdAq8ZxnbuSJ",1)</f>
        <v/>
      </c>
      <c r="F203" s="6" t="s">
        <v>1064</v>
      </c>
      <c r="G203" s="6" t="s">
        <v>1065</v>
      </c>
      <c r="H203" s="1" t="s">
        <v>177</v>
      </c>
      <c r="I203" s="7">
        <v>45948.77316484954</v>
      </c>
      <c r="J203" s="7">
        <v>45948.77412553241</v>
      </c>
      <c r="K203" s="1" t="s">
        <v>178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60.0" customHeight="1">
      <c r="A204" s="1" t="s">
        <v>1066</v>
      </c>
      <c r="B204" s="1" t="s">
        <v>1067</v>
      </c>
      <c r="C204" s="2" t="s">
        <v>1068</v>
      </c>
      <c r="D204" s="5" t="str">
        <f>IMAGE("https://drive.google.com/uc?export=view&amp;id=10__ineFm4FbtVibB_b6OosnZxzIBozz-",2)</f>
        <v/>
      </c>
      <c r="E204" s="5" t="str">
        <f>IMAGE("https://drive.google.com/uc?export=view&amp;id=10__ineFm4FbtVibB_b6OosnZxzIBozz-",1)</f>
        <v/>
      </c>
      <c r="F204" s="6" t="s">
        <v>1069</v>
      </c>
      <c r="G204" s="6" t="s">
        <v>1070</v>
      </c>
      <c r="H204" s="1" t="s">
        <v>820</v>
      </c>
      <c r="I204" s="7">
        <v>46009.71274295139</v>
      </c>
      <c r="J204" s="7">
        <v>46009.70143518518</v>
      </c>
      <c r="K204" s="1" t="s">
        <v>821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60.0" customHeight="1">
      <c r="A205" s="1" t="s">
        <v>1071</v>
      </c>
      <c r="B205" s="1" t="s">
        <v>1072</v>
      </c>
      <c r="C205" s="2" t="s">
        <v>1073</v>
      </c>
      <c r="D205" s="5" t="str">
        <f>IMAGE("https://drive.google.com/uc?export=view&amp;id=1TflH8CkCNMML1VC5ttJKuMeEdLeZfFq1",2)</f>
        <v/>
      </c>
      <c r="E205" s="5" t="str">
        <f>IMAGE("https://drive.google.com/uc?export=view&amp;id=1TflH8CkCNMML1VC5ttJKuMeEdLeZfFq1",1)</f>
        <v/>
      </c>
      <c r="F205" s="6" t="s">
        <v>1074</v>
      </c>
      <c r="G205" s="6" t="s">
        <v>1075</v>
      </c>
      <c r="H205" s="1" t="s">
        <v>353</v>
      </c>
      <c r="I205" s="7">
        <v>45792.39868670139</v>
      </c>
      <c r="J205" s="7">
        <v>45860.70073515046</v>
      </c>
      <c r="K205" s="1" t="s">
        <v>354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60.0" customHeight="1">
      <c r="A206" s="1" t="s">
        <v>1076</v>
      </c>
      <c r="B206" s="1" t="s">
        <v>1077</v>
      </c>
      <c r="C206" s="2" t="s">
        <v>1078</v>
      </c>
      <c r="D206" s="5" t="str">
        <f>IMAGE("https://drive.google.com/uc?export=view&amp;id=1OaB0xOxAqEDwS2R1VVTx1FOE_YY1JdHP",2)</f>
        <v/>
      </c>
      <c r="E206" s="5" t="str">
        <f>IMAGE("https://drive.google.com/uc?export=view&amp;id=1OaB0xOxAqEDwS2R1VVTx1FOE_YY1JdHP",1)</f>
        <v/>
      </c>
      <c r="F206" s="6" t="s">
        <v>1079</v>
      </c>
      <c r="G206" s="6" t="s">
        <v>1080</v>
      </c>
      <c r="H206" s="1" t="s">
        <v>30</v>
      </c>
      <c r="I206" s="7">
        <v>45913.54364233796</v>
      </c>
      <c r="J206" s="7">
        <v>45901.49424768519</v>
      </c>
      <c r="K206" s="1" t="s">
        <v>31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60.0" customHeight="1">
      <c r="A207" s="1" t="s">
        <v>1081</v>
      </c>
      <c r="B207" s="1" t="s">
        <v>1082</v>
      </c>
      <c r="C207" s="2" t="s">
        <v>1083</v>
      </c>
      <c r="D207" s="5" t="str">
        <f>IMAGE("https://drive.google.com/uc?export=view&amp;id=1gb106yRr9pNvoBduoIl1F6o_fuhBIUtM",2)</f>
        <v/>
      </c>
      <c r="E207" s="5" t="str">
        <f>IMAGE("https://drive.google.com/uc?export=view&amp;id=1gb106yRr9pNvoBduoIl1F6o_fuhBIUtM",1)</f>
        <v/>
      </c>
      <c r="F207" s="6" t="s">
        <v>1084</v>
      </c>
      <c r="G207" s="6" t="s">
        <v>1085</v>
      </c>
      <c r="H207" s="1" t="s">
        <v>1055</v>
      </c>
      <c r="I207" s="7">
        <v>46080.64858875</v>
      </c>
      <c r="J207" s="7">
        <v>46079.667546296296</v>
      </c>
      <c r="K207" s="1" t="s">
        <v>1056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60.0" customHeight="1">
      <c r="A208" s="1" t="s">
        <v>1086</v>
      </c>
      <c r="B208" s="1" t="s">
        <v>1087</v>
      </c>
      <c r="C208" s="2" t="s">
        <v>1088</v>
      </c>
      <c r="D208" s="5" t="str">
        <f>IMAGE("https://drive.google.com/uc?export=view&amp;id=1S84YD6lkVfMAOI12SHpW_rYLu2OPx3aD",2)</f>
        <v/>
      </c>
      <c r="E208" s="5" t="str">
        <f>IMAGE("https://drive.google.com/uc?export=view&amp;id=1S84YD6lkVfMAOI12SHpW_rYLu2OPx3aD",1)</f>
        <v/>
      </c>
      <c r="F208" s="6" t="s">
        <v>1089</v>
      </c>
      <c r="G208" s="6" t="s">
        <v>1090</v>
      </c>
      <c r="H208" s="1" t="s">
        <v>16</v>
      </c>
      <c r="I208" s="7">
        <v>45873.510102858796</v>
      </c>
      <c r="J208" s="7">
        <v>45890.46937452546</v>
      </c>
      <c r="K208" s="1" t="s">
        <v>17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60.0" customHeight="1">
      <c r="A209" s="1" t="s">
        <v>1091</v>
      </c>
      <c r="B209" s="1" t="s">
        <v>1092</v>
      </c>
      <c r="C209" s="2" t="s">
        <v>1093</v>
      </c>
      <c r="D209" s="5" t="str">
        <f>IMAGE("https://drive.google.com/uc?export=view&amp;id=1UQTNFGSVH3ycSJb627Xm9KvhPjl9IFGq",2)</f>
        <v/>
      </c>
      <c r="E209" s="5" t="str">
        <f>IMAGE("https://drive.google.com/uc?export=view&amp;id=1UQTNFGSVH3ycSJb627Xm9KvhPjl9IFGq",1)</f>
        <v/>
      </c>
      <c r="F209" s="6" t="s">
        <v>1094</v>
      </c>
      <c r="G209" s="6" t="s">
        <v>1095</v>
      </c>
      <c r="H209" s="1" t="s">
        <v>23</v>
      </c>
      <c r="I209" s="7">
        <v>45898.58445591435</v>
      </c>
      <c r="J209" s="7">
        <v>45898.57763888889</v>
      </c>
      <c r="K209" s="1" t="s">
        <v>24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60.0" customHeight="1">
      <c r="A210" s="1" t="s">
        <v>1096</v>
      </c>
      <c r="B210" s="1" t="s">
        <v>1097</v>
      </c>
      <c r="C210" s="2" t="s">
        <v>1098</v>
      </c>
      <c r="D210" s="5" t="str">
        <f>IMAGE("https://drive.google.com/uc?export=view&amp;id=1HnQ_Av5HcJMh-GXYDKjg9S_W7adp93sE",2)</f>
        <v/>
      </c>
      <c r="E210" s="5" t="str">
        <f>IMAGE("https://drive.google.com/uc?export=view&amp;id=1HnQ_Av5HcJMh-GXYDKjg9S_W7adp93sE",1)</f>
        <v/>
      </c>
      <c r="F210" s="6" t="s">
        <v>1099</v>
      </c>
      <c r="G210" s="6" t="s">
        <v>1100</v>
      </c>
      <c r="H210" s="1" t="s">
        <v>16</v>
      </c>
      <c r="I210" s="7">
        <v>45873.510222557874</v>
      </c>
      <c r="J210" s="7">
        <v>45890.46949603009</v>
      </c>
      <c r="K210" s="1" t="s">
        <v>17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60.0" customHeight="1">
      <c r="A211" s="1" t="s">
        <v>1101</v>
      </c>
      <c r="B211" s="1" t="s">
        <v>1102</v>
      </c>
      <c r="C211" s="2" t="s">
        <v>1103</v>
      </c>
      <c r="D211" s="5" t="str">
        <f>IMAGE("https://drive.google.com/uc?export=view&amp;id=1ZItvkmFv5qd9COLnpVFjkrxHEw-OOW8S",2)</f>
        <v/>
      </c>
      <c r="E211" s="5" t="str">
        <f>IMAGE("https://drive.google.com/uc?export=view&amp;id=1ZItvkmFv5qd9COLnpVFjkrxHEw-OOW8S",1)</f>
        <v/>
      </c>
      <c r="F211" s="6" t="s">
        <v>1104</v>
      </c>
      <c r="G211" s="6" t="s">
        <v>1105</v>
      </c>
      <c r="H211" s="1" t="s">
        <v>23</v>
      </c>
      <c r="I211" s="7">
        <v>45898.58447459491</v>
      </c>
      <c r="J211" s="7">
        <v>45898.57763888889</v>
      </c>
      <c r="K211" s="1" t="s">
        <v>24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60.0" customHeight="1">
      <c r="A212" s="1" t="s">
        <v>1106</v>
      </c>
      <c r="B212" s="1" t="s">
        <v>1107</v>
      </c>
      <c r="C212" s="2" t="s">
        <v>1108</v>
      </c>
      <c r="D212" s="5" t="str">
        <f>IMAGE("https://drive.google.com/uc?export=view&amp;id=1HnSUxthHf7rRu7QPdSGgP7NAiiyZw9vL",2)</f>
        <v/>
      </c>
      <c r="E212" s="5" t="str">
        <f>IMAGE("https://drive.google.com/uc?export=view&amp;id=1HnSUxthHf7rRu7QPdSGgP7NAiiyZw9vL",1)</f>
        <v/>
      </c>
      <c r="F212" s="6" t="s">
        <v>1109</v>
      </c>
      <c r="G212" s="6" t="s">
        <v>1110</v>
      </c>
      <c r="H212" s="1" t="s">
        <v>63</v>
      </c>
      <c r="I212" s="7">
        <v>45828.54275796296</v>
      </c>
      <c r="J212" s="7">
        <v>45860.69134262731</v>
      </c>
      <c r="K212" s="1" t="s">
        <v>64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60.0" customHeight="1">
      <c r="A213" s="1" t="s">
        <v>1111</v>
      </c>
      <c r="B213" s="1" t="s">
        <v>1112</v>
      </c>
      <c r="C213" s="2" t="s">
        <v>1113</v>
      </c>
      <c r="D213" s="5" t="str">
        <f>IMAGE("https://drive.google.com/uc?export=view&amp;id=1Rm9EJi7VAY3rR7n6blHsxU91ffxf1ACL",2)</f>
        <v/>
      </c>
      <c r="E213" s="5" t="str">
        <f>IMAGE("https://drive.google.com/uc?export=view&amp;id=1Rm9EJi7VAY3rR7n6blHsxU91ffxf1ACL",1)</f>
        <v/>
      </c>
      <c r="F213" s="6" t="s">
        <v>1114</v>
      </c>
      <c r="G213" s="6" t="s">
        <v>1115</v>
      </c>
      <c r="H213" s="1" t="s">
        <v>128</v>
      </c>
      <c r="I213" s="7">
        <v>46017.510430462964</v>
      </c>
      <c r="J213" s="7">
        <v>46011.00524305555</v>
      </c>
      <c r="K213" s="1" t="s">
        <v>129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60.0" customHeight="1">
      <c r="A214" s="1" t="s">
        <v>1116</v>
      </c>
      <c r="B214" s="1" t="s">
        <v>1117</v>
      </c>
      <c r="C214" s="2" t="s">
        <v>1118</v>
      </c>
      <c r="D214" s="5" t="str">
        <f>IMAGE("https://drive.google.com/uc?export=view&amp;id=11cE7AVdTsG2fOr_tvy513rcj5kUNsxw_",2)</f>
        <v/>
      </c>
      <c r="E214" s="5" t="str">
        <f>IMAGE("https://drive.google.com/uc?export=view&amp;id=11cE7AVdTsG2fOr_tvy513rcj5kUNsxw_",1)</f>
        <v/>
      </c>
      <c r="F214" s="6" t="s">
        <v>1119</v>
      </c>
      <c r="G214" s="6" t="s">
        <v>1120</v>
      </c>
      <c r="H214" s="1" t="s">
        <v>30</v>
      </c>
      <c r="I214" s="7">
        <v>45897.45753707176</v>
      </c>
      <c r="J214" s="7">
        <v>45913.55436751158</v>
      </c>
      <c r="K214" s="1" t="s">
        <v>31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60.0" customHeight="1">
      <c r="A215" s="1" t="s">
        <v>1121</v>
      </c>
      <c r="B215" s="1" t="s">
        <v>1122</v>
      </c>
      <c r="C215" s="2" t="s">
        <v>1123</v>
      </c>
      <c r="D215" s="5" t="str">
        <f>IMAGE("https://drive.google.com/uc?export=view&amp;id=1-lD0RrJ3u4eWihM01mRWB0aD21pf8Fba",2)</f>
        <v/>
      </c>
      <c r="E215" s="5" t="str">
        <f>IMAGE("https://drive.google.com/uc?export=view&amp;id=1-lD0RrJ3u4eWihM01mRWB0aD21pf8Fba",1)</f>
        <v/>
      </c>
      <c r="F215" s="6" t="s">
        <v>1124</v>
      </c>
      <c r="G215" s="6" t="s">
        <v>1125</v>
      </c>
      <c r="H215" s="1" t="s">
        <v>128</v>
      </c>
      <c r="I215" s="7">
        <v>46017.51060445602</v>
      </c>
      <c r="J215" s="7">
        <v>46010.48797453704</v>
      </c>
      <c r="K215" s="1" t="s">
        <v>129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60.0" customHeight="1">
      <c r="A216" s="1" t="s">
        <v>1126</v>
      </c>
      <c r="B216" s="1" t="s">
        <v>1127</v>
      </c>
      <c r="C216" s="2" t="s">
        <v>1128</v>
      </c>
      <c r="D216" s="5" t="str">
        <f>IMAGE("https://drive.google.com/uc?export=view&amp;id=12MyTrQTZh7wHH51lx-BtMryP6RKC1H6n",2)</f>
        <v/>
      </c>
      <c r="E216" s="5" t="str">
        <f>IMAGE("https://drive.google.com/uc?export=view&amp;id=12MyTrQTZh7wHH51lx-BtMryP6RKC1H6n",1)</f>
        <v/>
      </c>
      <c r="F216" s="6" t="s">
        <v>1129</v>
      </c>
      <c r="G216" s="6" t="s">
        <v>1130</v>
      </c>
      <c r="H216" s="1" t="s">
        <v>128</v>
      </c>
      <c r="I216" s="7">
        <v>46017.51077576389</v>
      </c>
      <c r="J216" s="7">
        <v>46010.503379629634</v>
      </c>
      <c r="K216" s="1" t="s">
        <v>129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60.0" customHeight="1">
      <c r="A217" s="1" t="s">
        <v>1131</v>
      </c>
      <c r="B217" s="1" t="s">
        <v>1132</v>
      </c>
      <c r="C217" s="2" t="s">
        <v>1133</v>
      </c>
      <c r="D217" s="5" t="str">
        <f>IMAGE("https://drive.google.com/uc?export=view&amp;id=18zGY-tL7ayJoYMJMhjJEg_CXMBCm2lD5",2)</f>
        <v/>
      </c>
      <c r="E217" s="5" t="str">
        <f>IMAGE("https://drive.google.com/uc?export=view&amp;id=18zGY-tL7ayJoYMJMhjJEg_CXMBCm2lD5",1)</f>
        <v/>
      </c>
      <c r="F217" s="6" t="s">
        <v>1134</v>
      </c>
      <c r="G217" s="6" t="s">
        <v>1135</v>
      </c>
      <c r="H217" s="1" t="s">
        <v>16</v>
      </c>
      <c r="I217" s="7">
        <v>45875.068902812505</v>
      </c>
      <c r="J217" s="7">
        <v>45890.469630231484</v>
      </c>
      <c r="K217" s="1" t="s">
        <v>17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60.0" customHeight="1">
      <c r="A218" s="1" t="s">
        <v>1136</v>
      </c>
      <c r="B218" s="1" t="s">
        <v>1137</v>
      </c>
      <c r="C218" s="2" t="s">
        <v>1138</v>
      </c>
      <c r="D218" s="5" t="str">
        <f>IMAGE("https://drive.google.com/uc?export=view&amp;id=19cczZy8sD45wHyV3U9UUNnt0nQQmFblA",2)</f>
        <v/>
      </c>
      <c r="E218" s="5" t="str">
        <f>IMAGE("https://drive.google.com/uc?export=view&amp;id=19cczZy8sD45wHyV3U9UUNnt0nQQmFblA",1)</f>
        <v/>
      </c>
      <c r="F218" s="6" t="s">
        <v>1139</v>
      </c>
      <c r="G218" s="6" t="s">
        <v>1140</v>
      </c>
      <c r="H218" s="1" t="s">
        <v>23</v>
      </c>
      <c r="I218" s="7">
        <v>45898.58430126157</v>
      </c>
      <c r="J218" s="7">
        <v>45898.57765046296</v>
      </c>
      <c r="K218" s="1" t="s">
        <v>24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60.0" customHeight="1">
      <c r="A219" s="1" t="s">
        <v>1141</v>
      </c>
      <c r="B219" s="1" t="s">
        <v>1142</v>
      </c>
      <c r="C219" s="2" t="s">
        <v>1143</v>
      </c>
      <c r="D219" s="5" t="str">
        <f>IMAGE("https://drive.google.com/uc?export=view&amp;id=1s4rsAJfcWxVfr8GEKv4D7CHTbmmQ3PA6",2)</f>
        <v/>
      </c>
      <c r="E219" s="5" t="str">
        <f>IMAGE("https://drive.google.com/uc?export=view&amp;id=1s4rsAJfcWxVfr8GEKv4D7CHTbmmQ3PA6",1)</f>
        <v/>
      </c>
      <c r="F219" s="6" t="s">
        <v>1144</v>
      </c>
      <c r="G219" s="6" t="s">
        <v>1145</v>
      </c>
      <c r="H219" s="1" t="s">
        <v>70</v>
      </c>
      <c r="I219" s="7">
        <v>45889.649724965275</v>
      </c>
      <c r="J219" s="7">
        <v>45889.649780486114</v>
      </c>
      <c r="K219" s="1" t="s">
        <v>71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60.0" customHeight="1">
      <c r="A220" s="1" t="s">
        <v>1146</v>
      </c>
      <c r="B220" s="1" t="s">
        <v>1147</v>
      </c>
      <c r="C220" s="2" t="s">
        <v>1148</v>
      </c>
      <c r="D220" s="5" t="str">
        <f>IMAGE("https://drive.google.com/uc?export=view&amp;id=1G-crZURiCgDoC8srRqutAsEJvOxEWsY-",2)</f>
        <v/>
      </c>
      <c r="E220" s="5" t="str">
        <f>IMAGE("https://drive.google.com/uc?export=view&amp;id=1G-crZURiCgDoC8srRqutAsEJvOxEWsY-",1)</f>
        <v/>
      </c>
      <c r="F220" s="6" t="s">
        <v>1149</v>
      </c>
      <c r="G220" s="6" t="s">
        <v>1150</v>
      </c>
      <c r="H220" s="1" t="s">
        <v>16</v>
      </c>
      <c r="I220" s="7">
        <v>45878.4491284838</v>
      </c>
      <c r="J220" s="7">
        <v>45890.46979664352</v>
      </c>
      <c r="K220" s="1" t="s">
        <v>17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60.0" customHeight="1">
      <c r="A221" s="1" t="s">
        <v>1151</v>
      </c>
      <c r="B221" s="1" t="s">
        <v>1152</v>
      </c>
      <c r="C221" s="2" t="s">
        <v>1153</v>
      </c>
      <c r="D221" s="5" t="str">
        <f>IMAGE("https://drive.google.com/uc?export=view&amp;id=1l8NFgvaElyYsgnRWpUkjVBR8agaFmDy6",2)</f>
        <v/>
      </c>
      <c r="E221" s="5" t="str">
        <f>IMAGE("https://drive.google.com/uc?export=view&amp;id=1l8NFgvaElyYsgnRWpUkjVBR8agaFmDy6",1)</f>
        <v/>
      </c>
      <c r="F221" s="6" t="s">
        <v>1154</v>
      </c>
      <c r="G221" s="6" t="s">
        <v>1155</v>
      </c>
      <c r="H221" s="1" t="s">
        <v>23</v>
      </c>
      <c r="I221" s="7">
        <v>45898.58429488426</v>
      </c>
      <c r="J221" s="7">
        <v>45898.57765046296</v>
      </c>
      <c r="K221" s="1" t="s">
        <v>24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60.0" customHeight="1">
      <c r="A222" s="1" t="s">
        <v>1156</v>
      </c>
      <c r="B222" s="1" t="s">
        <v>1157</v>
      </c>
      <c r="C222" s="2" t="s">
        <v>1158</v>
      </c>
      <c r="D222" s="5" t="str">
        <f>IMAGE("https://drive.google.com/uc?export=view&amp;id=1tU3HZHCjEPC4ZOxlRdisGcNykzGDvdoK",2)</f>
        <v/>
      </c>
      <c r="E222" s="5" t="str">
        <f>IMAGE("https://drive.google.com/uc?export=view&amp;id=1tU3HZHCjEPC4ZOxlRdisGcNykzGDvdoK",1)</f>
        <v/>
      </c>
      <c r="F222" s="6" t="s">
        <v>1159</v>
      </c>
      <c r="G222" s="6" t="s">
        <v>1160</v>
      </c>
      <c r="H222" s="1" t="s">
        <v>16</v>
      </c>
      <c r="I222" s="7">
        <v>45869.47357484954</v>
      </c>
      <c r="J222" s="7">
        <v>45869.47365506944</v>
      </c>
      <c r="K222" s="1" t="s">
        <v>57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60.0" customHeight="1">
      <c r="A223" s="1" t="s">
        <v>1161</v>
      </c>
      <c r="B223" s="1" t="s">
        <v>1162</v>
      </c>
      <c r="C223" s="2" t="s">
        <v>1163</v>
      </c>
      <c r="D223" s="5" t="str">
        <f>IMAGE("https://drive.google.com/uc?export=view&amp;id=1P3ouUf0SfnTuUc9My1Q6iLHm35S8ELky",2)</f>
        <v/>
      </c>
      <c r="E223" s="5" t="str">
        <f>IMAGE("https://drive.google.com/uc?export=view&amp;id=1P3ouUf0SfnTuUc9My1Q6iLHm35S8ELky",1)</f>
        <v/>
      </c>
      <c r="F223" s="6" t="s">
        <v>1164</v>
      </c>
      <c r="G223" s="6" t="s">
        <v>1165</v>
      </c>
      <c r="H223" s="1" t="s">
        <v>70</v>
      </c>
      <c r="I223" s="7">
        <v>45882.72104464121</v>
      </c>
      <c r="J223" s="7">
        <v>45882.72110591435</v>
      </c>
      <c r="K223" s="1" t="s">
        <v>71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60.0" customHeight="1">
      <c r="A224" s="1" t="s">
        <v>1166</v>
      </c>
      <c r="B224" s="1" t="s">
        <v>1167</v>
      </c>
      <c r="C224" s="2" t="s">
        <v>1168</v>
      </c>
      <c r="D224" s="5" t="str">
        <f>IMAGE("https://drive.google.com/uc?export=view&amp;id=1PocGD8n3O_2AYEckMA06EVdsnHXgPBLC",2)</f>
        <v/>
      </c>
      <c r="E224" s="5" t="str">
        <f>IMAGE("https://drive.google.com/uc?export=view&amp;id=1PocGD8n3O_2AYEckMA06EVdsnHXgPBLC",1)</f>
        <v/>
      </c>
      <c r="F224" s="6" t="s">
        <v>1169</v>
      </c>
      <c r="G224" s="6" t="s">
        <v>1170</v>
      </c>
      <c r="H224" s="1" t="s">
        <v>16</v>
      </c>
      <c r="I224" s="7">
        <v>46049.651859432866</v>
      </c>
      <c r="J224" s="7">
        <v>46049.44335648148</v>
      </c>
      <c r="K224" s="1" t="s">
        <v>57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60.0" customHeight="1">
      <c r="A225" s="1" t="s">
        <v>1171</v>
      </c>
      <c r="B225" s="1" t="s">
        <v>1172</v>
      </c>
      <c r="C225" s="2" t="s">
        <v>1173</v>
      </c>
      <c r="D225" s="5" t="str">
        <f>IMAGE("https://drive.google.com/uc?export=view&amp;id=1uvUmR0lIumnhIW2tMHrxbGND5vzEeps0",2)</f>
        <v/>
      </c>
      <c r="E225" s="5" t="str">
        <f>IMAGE("https://drive.google.com/uc?export=view&amp;id=1uvUmR0lIumnhIW2tMHrxbGND5vzEeps0",1)</f>
        <v/>
      </c>
      <c r="F225" s="6" t="s">
        <v>1174</v>
      </c>
      <c r="G225" s="6" t="s">
        <v>1175</v>
      </c>
      <c r="H225" s="1" t="s">
        <v>16</v>
      </c>
      <c r="I225" s="7">
        <v>45890.45820606481</v>
      </c>
      <c r="J225" s="7">
        <v>45888.64780092593</v>
      </c>
      <c r="K225" s="1" t="s">
        <v>17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60.0" customHeight="1">
      <c r="A226" s="1" t="s">
        <v>1176</v>
      </c>
      <c r="B226" s="1" t="s">
        <v>1177</v>
      </c>
      <c r="C226" s="2" t="s">
        <v>1178</v>
      </c>
      <c r="D226" s="5" t="str">
        <f>IMAGE("https://drive.google.com/uc?export=view&amp;id=19joZurJEZPdGzT-p3PUSlHtDwFUolzzY",2)</f>
        <v/>
      </c>
      <c r="E226" s="5" t="str">
        <f>IMAGE("https://drive.google.com/uc?export=view&amp;id=19joZurJEZPdGzT-p3PUSlHtDwFUolzzY",1)</f>
        <v/>
      </c>
      <c r="F226" s="6" t="s">
        <v>1179</v>
      </c>
      <c r="G226" s="6" t="s">
        <v>1180</v>
      </c>
      <c r="H226" s="1" t="s">
        <v>23</v>
      </c>
      <c r="I226" s="7">
        <v>45898.58435462963</v>
      </c>
      <c r="J226" s="7">
        <v>45898.57765046296</v>
      </c>
      <c r="K226" s="1" t="s">
        <v>24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60.0" customHeight="1">
      <c r="A227" s="1" t="s">
        <v>1181</v>
      </c>
      <c r="B227" s="1" t="s">
        <v>1182</v>
      </c>
      <c r="C227" s="2" t="s">
        <v>1183</v>
      </c>
      <c r="D227" s="5" t="str">
        <f>IMAGE("https://drive.google.com/uc?export=view&amp;id=1qP70qMN0xuEEOzsAE2wRnxP30tvGs-EV",2)</f>
        <v/>
      </c>
      <c r="E227" s="5" t="str">
        <f>IMAGE("https://drive.google.com/uc?export=view&amp;id=1qP70qMN0xuEEOzsAE2wRnxP30tvGs-EV",1)</f>
        <v/>
      </c>
      <c r="F227" s="6" t="s">
        <v>1184</v>
      </c>
      <c r="G227" s="6" t="s">
        <v>1185</v>
      </c>
      <c r="H227" s="1" t="s">
        <v>820</v>
      </c>
      <c r="I227" s="7">
        <v>46017.5180219676</v>
      </c>
      <c r="J227" s="7">
        <v>46012.710138888884</v>
      </c>
      <c r="K227" s="1" t="s">
        <v>821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60.0" customHeight="1">
      <c r="A228" s="1" t="s">
        <v>1186</v>
      </c>
      <c r="B228" s="1" t="s">
        <v>1187</v>
      </c>
      <c r="C228" s="2" t="s">
        <v>1188</v>
      </c>
      <c r="D228" s="5" t="str">
        <f>IMAGE("https://drive.google.com/uc?export=view&amp;id=1Cun5zu9DPD98aLjMNu909oTYSc1R47Vx",2)</f>
        <v/>
      </c>
      <c r="E228" s="5" t="str">
        <f>IMAGE("https://drive.google.com/uc?export=view&amp;id=1Cun5zu9DPD98aLjMNu909oTYSc1R47Vx",1)</f>
        <v/>
      </c>
      <c r="F228" s="6" t="s">
        <v>1189</v>
      </c>
      <c r="G228" s="6" t="s">
        <v>1190</v>
      </c>
      <c r="H228" s="1" t="s">
        <v>16</v>
      </c>
      <c r="I228" s="7">
        <v>45878.44926591435</v>
      </c>
      <c r="J228" s="7">
        <v>45890.470068599534</v>
      </c>
      <c r="K228" s="1" t="s">
        <v>17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60.0" customHeight="1">
      <c r="A229" s="1" t="s">
        <v>1191</v>
      </c>
      <c r="B229" s="1" t="s">
        <v>1192</v>
      </c>
      <c r="C229" s="2" t="s">
        <v>1193</v>
      </c>
      <c r="D229" s="5" t="str">
        <f>IMAGE("https://drive.google.com/uc?export=view&amp;id=1R_azGAYsIpWHv_ZgKG3T2RfOMxFjK6mf",2)</f>
        <v/>
      </c>
      <c r="E229" s="5" t="str">
        <f>IMAGE("https://drive.google.com/uc?export=view&amp;id=1R_azGAYsIpWHv_ZgKG3T2RfOMxFjK6mf",1)</f>
        <v/>
      </c>
      <c r="F229" s="6" t="s">
        <v>1194</v>
      </c>
      <c r="G229" s="6" t="s">
        <v>1195</v>
      </c>
      <c r="H229" s="1" t="s">
        <v>23</v>
      </c>
      <c r="I229" s="7">
        <v>45898.58435462963</v>
      </c>
      <c r="J229" s="7">
        <v>45898.57765046296</v>
      </c>
      <c r="K229" s="1" t="s">
        <v>24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60.0" customHeight="1">
      <c r="A230" s="1" t="s">
        <v>1196</v>
      </c>
      <c r="B230" s="1" t="s">
        <v>1197</v>
      </c>
      <c r="C230" s="2" t="s">
        <v>1198</v>
      </c>
      <c r="D230" s="5" t="str">
        <f>IMAGE("https://drive.google.com/uc?export=view&amp;id=1CWbwn3wSUQ9kn_wgNWU9Bbc5rLMhsZP1",2)</f>
        <v/>
      </c>
      <c r="E230" s="5" t="str">
        <f>IMAGE("https://drive.google.com/uc?export=view&amp;id=1CWbwn3wSUQ9kn_wgNWU9Bbc5rLMhsZP1",1)</f>
        <v/>
      </c>
      <c r="F230" s="6" t="s">
        <v>1199</v>
      </c>
      <c r="G230" s="6" t="s">
        <v>1200</v>
      </c>
      <c r="H230" s="1" t="s">
        <v>16</v>
      </c>
      <c r="I230" s="7">
        <v>45887.5011374537</v>
      </c>
      <c r="J230" s="7">
        <v>45890.469940208335</v>
      </c>
      <c r="K230" s="1" t="s">
        <v>17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60.0" customHeight="1">
      <c r="A231" s="1" t="s">
        <v>1201</v>
      </c>
      <c r="B231" s="1" t="s">
        <v>1202</v>
      </c>
      <c r="C231" s="2" t="s">
        <v>1203</v>
      </c>
      <c r="D231" s="5" t="str">
        <f>IMAGE("https://drive.google.com/uc?export=view&amp;id=1fCfqw0sW3g3wOS3zfvaiq0pNdF2BqcKZ",2)</f>
        <v/>
      </c>
      <c r="E231" s="5" t="str">
        <f>IMAGE("https://drive.google.com/uc?export=view&amp;id=1fCfqw0sW3g3wOS3zfvaiq0pNdF2BqcKZ",1)</f>
        <v/>
      </c>
      <c r="F231" s="6" t="s">
        <v>1204</v>
      </c>
      <c r="G231" s="6" t="s">
        <v>1205</v>
      </c>
      <c r="H231" s="1" t="s">
        <v>23</v>
      </c>
      <c r="I231" s="7">
        <v>45898.58435462963</v>
      </c>
      <c r="J231" s="7">
        <v>45898.57765046296</v>
      </c>
      <c r="K231" s="1" t="s">
        <v>24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60.0" customHeight="1">
      <c r="A232" s="1" t="s">
        <v>1206</v>
      </c>
      <c r="B232" s="1" t="s">
        <v>1207</v>
      </c>
      <c r="C232" s="2" t="s">
        <v>1208</v>
      </c>
      <c r="D232" s="5" t="str">
        <f>IMAGE("https://drive.google.com/uc?export=view&amp;id=1QXBgQANrw1a_hHMO0CgfQVm3o6wfUGfY",2)</f>
        <v/>
      </c>
      <c r="E232" s="5" t="str">
        <f>IMAGE("https://drive.google.com/uc?export=view&amp;id=1QXBgQANrw1a_hHMO0CgfQVm3o6wfUGfY",1)</f>
        <v/>
      </c>
      <c r="F232" s="6" t="s">
        <v>1209</v>
      </c>
      <c r="G232" s="6" t="s">
        <v>1210</v>
      </c>
      <c r="H232" s="1" t="s">
        <v>16</v>
      </c>
      <c r="I232" s="7">
        <v>45890.45876324074</v>
      </c>
      <c r="J232" s="7">
        <v>45888.98296296297</v>
      </c>
      <c r="K232" s="1" t="s">
        <v>17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60.0" customHeight="1">
      <c r="A233" s="1" t="s">
        <v>1211</v>
      </c>
      <c r="B233" s="1" t="s">
        <v>1212</v>
      </c>
      <c r="C233" s="2" t="s">
        <v>1213</v>
      </c>
      <c r="D233" s="5" t="str">
        <f>IMAGE("https://drive.google.com/uc?export=view&amp;id=163iLfRnLjoiYiNE68W-NA0AgdL1Umr3B",2)</f>
        <v/>
      </c>
      <c r="E233" s="5" t="str">
        <f>IMAGE("https://drive.google.com/uc?export=view&amp;id=163iLfRnLjoiYiNE68W-NA0AgdL1Umr3B",1)</f>
        <v/>
      </c>
      <c r="F233" s="6" t="s">
        <v>1214</v>
      </c>
      <c r="G233" s="6" t="s">
        <v>1215</v>
      </c>
      <c r="H233" s="1" t="s">
        <v>23</v>
      </c>
      <c r="I233" s="7">
        <v>45898.58435606481</v>
      </c>
      <c r="J233" s="7">
        <v>45898.57765046296</v>
      </c>
      <c r="K233" s="1" t="s">
        <v>24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60.0" customHeight="1">
      <c r="A234" s="1" t="s">
        <v>1216</v>
      </c>
      <c r="B234" s="1" t="s">
        <v>1217</v>
      </c>
      <c r="C234" s="2" t="s">
        <v>1218</v>
      </c>
      <c r="D234" s="5" t="str">
        <f>IMAGE("https://drive.google.com/uc?export=view&amp;id=1LPhOX0kdbeb8cEVFsUnApzZj9HacXAYr",2)</f>
        <v/>
      </c>
      <c r="E234" s="5" t="str">
        <f>IMAGE("https://drive.google.com/uc?export=view&amp;id=1LPhOX0kdbeb8cEVFsUnApzZj9HacXAYr",1)</f>
        <v/>
      </c>
      <c r="F234" s="6" t="s">
        <v>1219</v>
      </c>
      <c r="G234" s="6" t="s">
        <v>1220</v>
      </c>
      <c r="H234" s="1" t="s">
        <v>16</v>
      </c>
      <c r="I234" s="7">
        <v>45873.51229993056</v>
      </c>
      <c r="J234" s="7">
        <v>45878.4664796875</v>
      </c>
      <c r="K234" s="1" t="s">
        <v>17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60.0" customHeight="1">
      <c r="A235" s="1" t="s">
        <v>1221</v>
      </c>
      <c r="B235" s="1" t="s">
        <v>1222</v>
      </c>
      <c r="C235" s="2" t="s">
        <v>1223</v>
      </c>
      <c r="D235" s="5" t="str">
        <f>IMAGE("https://drive.google.com/uc?export=view&amp;id=1e-WmVeqVEnSvRcx3lYtIVC7oDebNxkk1",2)</f>
        <v/>
      </c>
      <c r="E235" s="5" t="str">
        <f>IMAGE("https://drive.google.com/uc?export=view&amp;id=1e-WmVeqVEnSvRcx3lYtIVC7oDebNxkk1",1)</f>
        <v/>
      </c>
      <c r="F235" s="6" t="s">
        <v>1224</v>
      </c>
      <c r="G235" s="6" t="s">
        <v>1225</v>
      </c>
      <c r="H235" s="1" t="s">
        <v>23</v>
      </c>
      <c r="I235" s="7">
        <v>45898.584572314816</v>
      </c>
      <c r="J235" s="7">
        <v>45898.57765046296</v>
      </c>
      <c r="K235" s="1" t="s">
        <v>24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60.0" customHeight="1">
      <c r="A236" s="1" t="s">
        <v>1226</v>
      </c>
      <c r="B236" s="1" t="s">
        <v>1227</v>
      </c>
      <c r="C236" s="2" t="s">
        <v>1228</v>
      </c>
      <c r="D236" s="5" t="str">
        <f>IMAGE("https://drive.google.com/uc?export=view&amp;id=1_VUUrJKa4DDPR_z-NsIDLrTG5y-cGvkB",2)</f>
        <v/>
      </c>
      <c r="E236" s="5" t="str">
        <f>IMAGE("https://drive.google.com/uc?export=view&amp;id=1_VUUrJKa4DDPR_z-NsIDLrTG5y-cGvkB",1)</f>
        <v/>
      </c>
      <c r="F236" s="6" t="s">
        <v>1229</v>
      </c>
      <c r="G236" s="6" t="s">
        <v>1230</v>
      </c>
      <c r="H236" s="1" t="s">
        <v>353</v>
      </c>
      <c r="I236" s="7">
        <v>45792.398874618055</v>
      </c>
      <c r="J236" s="7">
        <v>45860.700872245376</v>
      </c>
      <c r="K236" s="1" t="s">
        <v>354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60.0" customHeight="1">
      <c r="A237" s="1" t="s">
        <v>1231</v>
      </c>
      <c r="B237" s="1" t="s">
        <v>1232</v>
      </c>
      <c r="C237" s="2" t="s">
        <v>1233</v>
      </c>
      <c r="D237" s="5" t="str">
        <f>IMAGE("https://drive.google.com/uc?export=view&amp;id=1Ei2jR8agIyxsYGCYBX0PPL3ebj9K3HFr",2)</f>
        <v/>
      </c>
      <c r="E237" s="5" t="str">
        <f>IMAGE("https://drive.google.com/uc?export=view&amp;id=1Ei2jR8agIyxsYGCYBX0PPL3ebj9K3HFr",1)</f>
        <v/>
      </c>
      <c r="F237" s="6" t="s">
        <v>1234</v>
      </c>
      <c r="G237" s="6" t="s">
        <v>1235</v>
      </c>
      <c r="H237" s="1" t="s">
        <v>798</v>
      </c>
      <c r="I237" s="7">
        <v>46017.532504629635</v>
      </c>
      <c r="J237" s="7">
        <v>46014.39060185185</v>
      </c>
      <c r="K237" s="1" t="s">
        <v>799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60.0" customHeight="1">
      <c r="A238" s="1" t="s">
        <v>1236</v>
      </c>
      <c r="B238" s="1" t="s">
        <v>1237</v>
      </c>
      <c r="C238" s="2" t="s">
        <v>1238</v>
      </c>
      <c r="D238" s="5" t="str">
        <f>IMAGE("https://drive.google.com/uc?export=view&amp;id=1q85RJVEnDZPClI9E93FKybnJt5-1_eMB",2)</f>
        <v/>
      </c>
      <c r="E238" s="5" t="str">
        <f>IMAGE("https://drive.google.com/uc?export=view&amp;id=1q85RJVEnDZPClI9E93FKybnJt5-1_eMB",1)</f>
        <v/>
      </c>
      <c r="F238" s="6" t="s">
        <v>1239</v>
      </c>
      <c r="G238" s="6" t="s">
        <v>1240</v>
      </c>
      <c r="H238" s="1" t="s">
        <v>798</v>
      </c>
      <c r="I238" s="7">
        <v>46017.53072850694</v>
      </c>
      <c r="J238" s="7">
        <v>46014.640497685185</v>
      </c>
      <c r="K238" s="1" t="s">
        <v>799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60.0" customHeight="1">
      <c r="A239" s="1" t="s">
        <v>1241</v>
      </c>
      <c r="B239" s="1" t="s">
        <v>1242</v>
      </c>
      <c r="C239" s="2" t="s">
        <v>1243</v>
      </c>
      <c r="D239" s="5" t="str">
        <f>IMAGE("https://drive.google.com/uc?export=view&amp;id=1R4augrOaGl6kqLt0jjTIb38D2_RTyH-_",2)</f>
        <v/>
      </c>
      <c r="E239" s="5" t="str">
        <f>IMAGE("https://drive.google.com/uc?export=view&amp;id=1R4augrOaGl6kqLt0jjTIb38D2_RTyH-_",1)</f>
        <v/>
      </c>
      <c r="F239" s="6" t="s">
        <v>1244</v>
      </c>
      <c r="G239" s="6" t="s">
        <v>1245</v>
      </c>
      <c r="H239" s="1" t="s">
        <v>798</v>
      </c>
      <c r="I239" s="7">
        <v>46017.53090967593</v>
      </c>
      <c r="J239" s="7">
        <v>46014.66395833333</v>
      </c>
      <c r="K239" s="1" t="s">
        <v>799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60.0" customHeight="1">
      <c r="A240" s="1" t="s">
        <v>1246</v>
      </c>
      <c r="B240" s="1" t="s">
        <v>1247</v>
      </c>
      <c r="C240" s="2" t="s">
        <v>1248</v>
      </c>
      <c r="D240" s="5" t="str">
        <f>IMAGE("https://drive.google.com/uc?export=view&amp;id=15X4wsw_SZuoiuZPpNJ6WD4fq9EQXud6l",2)</f>
        <v/>
      </c>
      <c r="E240" s="5" t="str">
        <f>IMAGE("https://drive.google.com/uc?export=view&amp;id=15X4wsw_SZuoiuZPpNJ6WD4fq9EQXud6l",1)</f>
        <v/>
      </c>
      <c r="F240" s="6" t="s">
        <v>1249</v>
      </c>
      <c r="G240" s="6" t="s">
        <v>1250</v>
      </c>
      <c r="H240" s="1" t="s">
        <v>798</v>
      </c>
      <c r="I240" s="7">
        <v>46017.53109480324</v>
      </c>
      <c r="J240" s="7">
        <v>46014.66122685185</v>
      </c>
      <c r="K240" s="1" t="s">
        <v>799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60.0" customHeight="1">
      <c r="A241" s="1" t="s">
        <v>1251</v>
      </c>
      <c r="B241" s="1" t="s">
        <v>1252</v>
      </c>
      <c r="C241" s="2" t="s">
        <v>1253</v>
      </c>
      <c r="D241" s="5" t="str">
        <f>IMAGE("https://drive.google.com/uc?export=view&amp;id=1XRh-D5QdKzzIFPvzXoQbst5Rvl54X5yr",2)</f>
        <v/>
      </c>
      <c r="E241" s="5" t="str">
        <f>IMAGE("https://drive.google.com/uc?export=view&amp;id=1XRh-D5QdKzzIFPvzXoQbst5Rvl54X5yr",1)</f>
        <v/>
      </c>
      <c r="F241" s="6" t="s">
        <v>1254</v>
      </c>
      <c r="G241" s="6" t="s">
        <v>1255</v>
      </c>
      <c r="H241" s="1" t="s">
        <v>798</v>
      </c>
      <c r="I241" s="7">
        <v>46017.531368055556</v>
      </c>
      <c r="J241" s="7">
        <v>46014.42559027778</v>
      </c>
      <c r="K241" s="1" t="s">
        <v>799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60.0" customHeight="1">
      <c r="A242" s="1" t="s">
        <v>1256</v>
      </c>
      <c r="B242" s="1" t="s">
        <v>1257</v>
      </c>
      <c r="C242" s="2" t="s">
        <v>1258</v>
      </c>
      <c r="D242" s="5" t="str">
        <f>IMAGE("https://drive.google.com/uc?export=view&amp;id=1LB2Qha3zs6HyPLnEz_ijr_ZQmymq8hpB",2)</f>
        <v/>
      </c>
      <c r="E242" s="5" t="str">
        <f>IMAGE("https://drive.google.com/uc?export=view&amp;id=1LB2Qha3zs6HyPLnEz_ijr_ZQmymq8hpB",1)</f>
        <v/>
      </c>
      <c r="F242" s="6" t="s">
        <v>1259</v>
      </c>
      <c r="G242" s="6" t="s">
        <v>1260</v>
      </c>
      <c r="H242" s="1" t="s">
        <v>798</v>
      </c>
      <c r="I242" s="7">
        <v>46017.53153194445</v>
      </c>
      <c r="J242" s="7">
        <v>46014.649884259255</v>
      </c>
      <c r="K242" s="1" t="s">
        <v>799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60.0" customHeight="1">
      <c r="A243" s="1" t="s">
        <v>1261</v>
      </c>
      <c r="B243" s="1" t="s">
        <v>1262</v>
      </c>
      <c r="C243" s="2" t="s">
        <v>1263</v>
      </c>
      <c r="D243" s="5" t="str">
        <f>IMAGE("https://drive.google.com/uc?export=view&amp;id=1eSKBDsswafiwJ5j26o1OoGPVviqOtDU-",2)</f>
        <v/>
      </c>
      <c r="E243" s="5" t="str">
        <f>IMAGE("https://drive.google.com/uc?export=view&amp;id=1eSKBDsswafiwJ5j26o1OoGPVviqOtDU-",1)</f>
        <v/>
      </c>
      <c r="F243" s="6" t="s">
        <v>1264</v>
      </c>
      <c r="G243" s="6" t="s">
        <v>1265</v>
      </c>
      <c r="H243" s="1" t="s">
        <v>798</v>
      </c>
      <c r="I243" s="7">
        <v>46017.53176489583</v>
      </c>
      <c r="J243" s="7">
        <v>46014.64318287037</v>
      </c>
      <c r="K243" s="1" t="s">
        <v>799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60.0" customHeight="1">
      <c r="A244" s="1" t="s">
        <v>1266</v>
      </c>
      <c r="B244" s="1" t="s">
        <v>1267</v>
      </c>
      <c r="C244" s="2" t="s">
        <v>1268</v>
      </c>
      <c r="D244" s="5" t="str">
        <f>IMAGE("https://drive.google.com/uc?export=view&amp;id=1qXtjtqv98djx3gSjgq2iptK2a8iptVR0",2)</f>
        <v/>
      </c>
      <c r="E244" s="5" t="str">
        <f>IMAGE("https://drive.google.com/uc?export=view&amp;id=1qXtjtqv98djx3gSjgq2iptK2a8iptVR0",1)</f>
        <v/>
      </c>
      <c r="F244" s="6" t="s">
        <v>1269</v>
      </c>
      <c r="G244" s="6" t="s">
        <v>1270</v>
      </c>
      <c r="H244" s="1" t="s">
        <v>798</v>
      </c>
      <c r="I244" s="7">
        <v>46017.53198688658</v>
      </c>
      <c r="J244" s="7">
        <v>46014.64611111111</v>
      </c>
      <c r="K244" s="1" t="s">
        <v>799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60.0" customHeight="1">
      <c r="A245" s="1" t="s">
        <v>1271</v>
      </c>
      <c r="B245" s="1" t="s">
        <v>1272</v>
      </c>
      <c r="C245" s="2" t="s">
        <v>1273</v>
      </c>
      <c r="D245" s="5" t="str">
        <f>IMAGE("https://drive.google.com/uc?export=view&amp;id=14dDp2W9HaAXML4H736MQBMKVeE1WUX9f",2)</f>
        <v/>
      </c>
      <c r="E245" s="5" t="str">
        <f>IMAGE("https://drive.google.com/uc?export=view&amp;id=14dDp2W9HaAXML4H736MQBMKVeE1WUX9f",1)</f>
        <v/>
      </c>
      <c r="F245" s="6" t="s">
        <v>1274</v>
      </c>
      <c r="G245" s="6" t="s">
        <v>1275</v>
      </c>
      <c r="H245" s="1" t="s">
        <v>798</v>
      </c>
      <c r="I245" s="7">
        <v>46017.53272175926</v>
      </c>
      <c r="J245" s="7">
        <v>46014.35490740741</v>
      </c>
      <c r="K245" s="1" t="s">
        <v>799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60.0" customHeight="1">
      <c r="A246" s="1" t="s">
        <v>1276</v>
      </c>
      <c r="B246" s="1" t="s">
        <v>1277</v>
      </c>
      <c r="C246" s="2" t="s">
        <v>1278</v>
      </c>
      <c r="D246" s="5" t="str">
        <f>IMAGE("https://drive.google.com/uc?export=view&amp;id=1y26_ltJuTSP9WW3DJwHEXAYpTRPcngmh",2)</f>
        <v/>
      </c>
      <c r="E246" s="5" t="str">
        <f>IMAGE("https://drive.google.com/uc?export=view&amp;id=1y26_ltJuTSP9WW3DJwHEXAYpTRPcngmh",1)</f>
        <v/>
      </c>
      <c r="F246" s="6" t="s">
        <v>1279</v>
      </c>
      <c r="G246" s="6" t="s">
        <v>1280</v>
      </c>
      <c r="H246" s="1" t="s">
        <v>798</v>
      </c>
      <c r="I246" s="7">
        <v>46017.53225258102</v>
      </c>
      <c r="J246" s="7">
        <v>46014.363391203704</v>
      </c>
      <c r="K246" s="1" t="s">
        <v>799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60.0" customHeight="1">
      <c r="A247" s="1" t="s">
        <v>1281</v>
      </c>
      <c r="B247" s="1" t="s">
        <v>1282</v>
      </c>
      <c r="C247" s="2" t="s">
        <v>1283</v>
      </c>
      <c r="D247" s="5" t="str">
        <f>IMAGE("https://drive.google.com/uc?export=view&amp;id=1vQOZLMJR7fpWSKh24zz5k4j5sP0kMPaL",2)</f>
        <v/>
      </c>
      <c r="E247" s="5" t="str">
        <f>IMAGE("https://drive.google.com/uc?export=view&amp;id=1vQOZLMJR7fpWSKh24zz5k4j5sP0kMPaL",1)</f>
        <v/>
      </c>
      <c r="F247" s="6" t="s">
        <v>1284</v>
      </c>
      <c r="G247" s="6" t="s">
        <v>1285</v>
      </c>
      <c r="H247" s="1" t="s">
        <v>798</v>
      </c>
      <c r="I247" s="7">
        <v>46017.52939454861</v>
      </c>
      <c r="J247" s="7">
        <v>46014.37438657407</v>
      </c>
      <c r="K247" s="1" t="s">
        <v>799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60.0" customHeight="1">
      <c r="A248" s="1" t="s">
        <v>1286</v>
      </c>
      <c r="B248" s="1" t="s">
        <v>1287</v>
      </c>
      <c r="C248" s="2" t="s">
        <v>1288</v>
      </c>
      <c r="D248" s="5" t="str">
        <f>IMAGE("https://drive.google.com/uc?export=view&amp;id=1PkZ4chv2TupO121eRFWzHDmli8E4UIVN",2)</f>
        <v/>
      </c>
      <c r="E248" s="5" t="str">
        <f>IMAGE("https://drive.google.com/uc?export=view&amp;id=1PkZ4chv2TupO121eRFWzHDmli8E4UIVN",1)</f>
        <v/>
      </c>
      <c r="F248" s="6" t="s">
        <v>1289</v>
      </c>
      <c r="G248" s="6" t="s">
        <v>1290</v>
      </c>
      <c r="H248" s="1" t="s">
        <v>798</v>
      </c>
      <c r="I248" s="7">
        <v>46017.52952686342</v>
      </c>
      <c r="J248" s="7">
        <v>46014.37572916667</v>
      </c>
      <c r="K248" s="1" t="s">
        <v>799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60.0" customHeight="1">
      <c r="A249" s="1" t="s">
        <v>1291</v>
      </c>
      <c r="B249" s="1" t="s">
        <v>1292</v>
      </c>
      <c r="C249" s="2" t="s">
        <v>1293</v>
      </c>
      <c r="D249" s="5" t="str">
        <f>IMAGE("https://drive.google.com/uc?export=view&amp;id=11CaqiUGLs3kGMBfADa-RblCogjb_Q9is",2)</f>
        <v/>
      </c>
      <c r="E249" s="5" t="str">
        <f>IMAGE("https://drive.google.com/uc?export=view&amp;id=11CaqiUGLs3kGMBfADa-RblCogjb_Q9is",1)</f>
        <v/>
      </c>
      <c r="F249" s="6" t="s">
        <v>1294</v>
      </c>
      <c r="G249" s="6" t="s">
        <v>1295</v>
      </c>
      <c r="H249" s="1" t="s">
        <v>798</v>
      </c>
      <c r="I249" s="7">
        <v>46017.529654768514</v>
      </c>
      <c r="J249" s="7">
        <v>46014.37157407407</v>
      </c>
      <c r="K249" s="1" t="s">
        <v>799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60.0" customHeight="1">
      <c r="A250" s="1" t="s">
        <v>1296</v>
      </c>
      <c r="B250" s="1" t="s">
        <v>1297</v>
      </c>
      <c r="C250" s="2" t="s">
        <v>1298</v>
      </c>
      <c r="D250" s="5" t="str">
        <f>IMAGE("https://drive.google.com/uc?export=view&amp;id=1CimBLy0zqUQY6Tox001oJkMS8snZZQDO",2)</f>
        <v/>
      </c>
      <c r="E250" s="5" t="str">
        <f>IMAGE("https://drive.google.com/uc?export=view&amp;id=1CimBLy0zqUQY6Tox001oJkMS8snZZQDO",1)</f>
        <v/>
      </c>
      <c r="F250" s="6" t="s">
        <v>1299</v>
      </c>
      <c r="G250" s="6" t="s">
        <v>1300</v>
      </c>
      <c r="H250" s="1" t="s">
        <v>798</v>
      </c>
      <c r="I250" s="7">
        <v>46017.5297885301</v>
      </c>
      <c r="J250" s="7">
        <v>46014.3602662037</v>
      </c>
      <c r="K250" s="1" t="s">
        <v>799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60.0" customHeight="1">
      <c r="A251" s="1" t="s">
        <v>1301</v>
      </c>
      <c r="B251" s="1" t="s">
        <v>1302</v>
      </c>
      <c r="C251" s="2" t="s">
        <v>1303</v>
      </c>
      <c r="D251" s="5" t="str">
        <f>IMAGE("https://drive.google.com/uc?export=view&amp;id=1vyHmJJly3aIunks7reWZp1dfblzBwugN",2)</f>
        <v/>
      </c>
      <c r="E251" s="5" t="str">
        <f>IMAGE("https://drive.google.com/uc?export=view&amp;id=1vyHmJJly3aIunks7reWZp1dfblzBwugN",1)</f>
        <v/>
      </c>
      <c r="F251" s="6" t="s">
        <v>1304</v>
      </c>
      <c r="G251" s="6" t="s">
        <v>1305</v>
      </c>
      <c r="H251" s="1" t="s">
        <v>798</v>
      </c>
      <c r="I251" s="7">
        <v>46017.52992746528</v>
      </c>
      <c r="J251" s="7">
        <v>46014.36827546296</v>
      </c>
      <c r="K251" s="1" t="s">
        <v>799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60.0" customHeight="1">
      <c r="A252" s="1" t="s">
        <v>1306</v>
      </c>
      <c r="B252" s="1" t="s">
        <v>1307</v>
      </c>
      <c r="C252" s="2" t="s">
        <v>1308</v>
      </c>
      <c r="D252" s="5" t="str">
        <f>IMAGE("https://drive.google.com/uc?export=view&amp;id=1BaGeGDjhyO3RE8YbkFdDTKnjCSeiQ16J",2)</f>
        <v/>
      </c>
      <c r="E252" s="5" t="str">
        <f>IMAGE("https://drive.google.com/uc?export=view&amp;id=1BaGeGDjhyO3RE8YbkFdDTKnjCSeiQ16J",1)</f>
        <v/>
      </c>
      <c r="F252" s="6" t="s">
        <v>1309</v>
      </c>
      <c r="G252" s="6" t="s">
        <v>1310</v>
      </c>
      <c r="H252" s="1" t="s">
        <v>798</v>
      </c>
      <c r="I252" s="7">
        <v>46017.53006217592</v>
      </c>
      <c r="J252" s="7">
        <v>46014.36454861111</v>
      </c>
      <c r="K252" s="1" t="s">
        <v>799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60.0" customHeight="1">
      <c r="A253" s="1" t="s">
        <v>1311</v>
      </c>
      <c r="B253" s="1" t="s">
        <v>1312</v>
      </c>
      <c r="C253" s="2" t="s">
        <v>1313</v>
      </c>
      <c r="D253" s="5" t="str">
        <f>IMAGE("https://drive.google.com/uc?export=view&amp;id=188odjSnMZuyv5q2aeyMfM5grggf_GeLN",2)</f>
        <v/>
      </c>
      <c r="E253" s="5" t="str">
        <f>IMAGE("https://drive.google.com/uc?export=view&amp;id=188odjSnMZuyv5q2aeyMfM5grggf_GeLN",1)</f>
        <v/>
      </c>
      <c r="F253" s="6" t="s">
        <v>1314</v>
      </c>
      <c r="G253" s="6" t="s">
        <v>1315</v>
      </c>
      <c r="H253" s="1" t="s">
        <v>798</v>
      </c>
      <c r="I253" s="7">
        <v>46017.530191087964</v>
      </c>
      <c r="J253" s="7">
        <v>46014.36646990741</v>
      </c>
      <c r="K253" s="1" t="s">
        <v>799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60.0" customHeight="1">
      <c r="A254" s="1" t="s">
        <v>1316</v>
      </c>
      <c r="B254" s="1" t="s">
        <v>1317</v>
      </c>
      <c r="C254" s="2" t="s">
        <v>1318</v>
      </c>
      <c r="D254" s="5" t="str">
        <f>IMAGE("https://drive.google.com/uc?export=view&amp;id=1a_5yFSLmK1JMRu6EFu0VpkI2zTm1hXyj",2)</f>
        <v/>
      </c>
      <c r="E254" s="5" t="str">
        <f>IMAGE("https://drive.google.com/uc?export=view&amp;id=1a_5yFSLmK1JMRu6EFu0VpkI2zTm1hXyj",1)</f>
        <v/>
      </c>
      <c r="F254" s="6" t="s">
        <v>1319</v>
      </c>
      <c r="G254" s="6" t="s">
        <v>1320</v>
      </c>
      <c r="H254" s="1" t="s">
        <v>70</v>
      </c>
      <c r="I254" s="7">
        <v>45868.6971174537</v>
      </c>
      <c r="J254" s="7">
        <v>45868.706091608794</v>
      </c>
      <c r="K254" s="1" t="s">
        <v>71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60.0" customHeight="1">
      <c r="A255" s="1" t="s">
        <v>1321</v>
      </c>
      <c r="B255" s="1" t="s">
        <v>1322</v>
      </c>
      <c r="C255" s="2" t="s">
        <v>1323</v>
      </c>
      <c r="D255" s="5" t="str">
        <f>IMAGE("https://drive.google.com/uc?export=view&amp;id=1-yCBhtZuAz3_KOA0SakD23D2tX761sV8",2)</f>
        <v/>
      </c>
      <c r="E255" s="5" t="str">
        <f>IMAGE("https://drive.google.com/uc?export=view&amp;id=1-yCBhtZuAz3_KOA0SakD23D2tX761sV8",1)</f>
        <v/>
      </c>
      <c r="F255" s="6" t="s">
        <v>1324</v>
      </c>
      <c r="G255" s="6" t="s">
        <v>1325</v>
      </c>
      <c r="H255" s="1" t="s">
        <v>353</v>
      </c>
      <c r="I255" s="7">
        <v>45828.545049004635</v>
      </c>
      <c r="J255" s="7">
        <v>45860.701022141206</v>
      </c>
      <c r="K255" s="1" t="s">
        <v>354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60.0" customHeight="1">
      <c r="A256" s="1" t="s">
        <v>1326</v>
      </c>
      <c r="B256" s="1" t="s">
        <v>1327</v>
      </c>
      <c r="C256" s="2" t="s">
        <v>1328</v>
      </c>
      <c r="D256" s="5" t="str">
        <f>IMAGE("https://drive.google.com/uc?export=view&amp;id=1nzaicBaf76uTgJ73SIRU_QZQQPTEWbU0",2)</f>
        <v/>
      </c>
      <c r="E256" s="5" t="str">
        <f>IMAGE("https://drive.google.com/uc?export=view&amp;id=1nzaicBaf76uTgJ73SIRU_QZQQPTEWbU0",1)</f>
        <v/>
      </c>
      <c r="F256" s="6" t="s">
        <v>1329</v>
      </c>
      <c r="G256" s="6" t="s">
        <v>1330</v>
      </c>
      <c r="H256" s="1" t="s">
        <v>353</v>
      </c>
      <c r="I256" s="7">
        <v>45828.54517975694</v>
      </c>
      <c r="J256" s="7">
        <v>45860.701151597226</v>
      </c>
      <c r="K256" s="1" t="s">
        <v>354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60.0" customHeight="1">
      <c r="A257" s="1" t="s">
        <v>1331</v>
      </c>
      <c r="B257" s="1" t="s">
        <v>1332</v>
      </c>
      <c r="C257" s="2" t="s">
        <v>1333</v>
      </c>
      <c r="D257" s="5" t="str">
        <f>IMAGE("https://drive.google.com/uc?export=view&amp;id=1EQ-VdqUdjVfYqdap_587PJaO7xy60cZQ",2)</f>
        <v/>
      </c>
      <c r="E257" s="5" t="str">
        <f>IMAGE("https://drive.google.com/uc?export=view&amp;id=1EQ-VdqUdjVfYqdap_587PJaO7xy60cZQ",1)</f>
        <v/>
      </c>
      <c r="F257" s="6" t="s">
        <v>1334</v>
      </c>
      <c r="G257" s="6" t="s">
        <v>1335</v>
      </c>
      <c r="H257" s="1" t="s">
        <v>353</v>
      </c>
      <c r="I257" s="7">
        <v>45828.54533842593</v>
      </c>
      <c r="J257" s="7">
        <v>45860.70130030093</v>
      </c>
      <c r="K257" s="1" t="s">
        <v>354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60.0" customHeight="1">
      <c r="A258" s="1" t="s">
        <v>1336</v>
      </c>
      <c r="B258" s="1" t="s">
        <v>1337</v>
      </c>
      <c r="C258" s="2" t="s">
        <v>1338</v>
      </c>
      <c r="D258" s="5" t="str">
        <f>IMAGE("https://drive.google.com/uc?export=view&amp;id=1nmCqLyAnYUkdt3cs-Ah-IHZx46ywq5Hs",2)</f>
        <v/>
      </c>
      <c r="E258" s="5" t="str">
        <f>IMAGE("https://drive.google.com/uc?export=view&amp;id=1nmCqLyAnYUkdt3cs-Ah-IHZx46ywq5Hs",1)</f>
        <v/>
      </c>
      <c r="F258" s="6" t="s">
        <v>1339</v>
      </c>
      <c r="G258" s="6" t="s">
        <v>1340</v>
      </c>
      <c r="H258" s="1" t="s">
        <v>16</v>
      </c>
      <c r="I258" s="7">
        <v>45875.0690368287</v>
      </c>
      <c r="J258" s="7">
        <v>45890.47199362269</v>
      </c>
      <c r="K258" s="1" t="s">
        <v>17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60.0" customHeight="1">
      <c r="A259" s="1" t="s">
        <v>1341</v>
      </c>
      <c r="B259" s="1" t="s">
        <v>1342</v>
      </c>
      <c r="C259" s="2" t="s">
        <v>1343</v>
      </c>
      <c r="D259" s="5" t="str">
        <f>IMAGE("https://drive.google.com/uc?export=view&amp;id=1N1odSeTXiXlY0AnoYLZvYMjp19o00ZiB",2)</f>
        <v/>
      </c>
      <c r="E259" s="5" t="str">
        <f>IMAGE("https://drive.google.com/uc?export=view&amp;id=1N1odSeTXiXlY0AnoYLZvYMjp19o00ZiB",1)</f>
        <v/>
      </c>
      <c r="F259" s="6" t="s">
        <v>1344</v>
      </c>
      <c r="G259" s="6" t="s">
        <v>1345</v>
      </c>
      <c r="H259" s="1" t="s">
        <v>23</v>
      </c>
      <c r="I259" s="7">
        <v>45898.584386041664</v>
      </c>
      <c r="J259" s="7">
        <v>45898.57765046296</v>
      </c>
      <c r="K259" s="1" t="s">
        <v>24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60.0" customHeight="1">
      <c r="A260" s="1" t="s">
        <v>1346</v>
      </c>
      <c r="B260" s="1" t="s">
        <v>1347</v>
      </c>
      <c r="C260" s="2" t="s">
        <v>1348</v>
      </c>
      <c r="D260" s="5" t="str">
        <f>IMAGE("https://drive.google.com/uc?export=view&amp;id=1QCFMz6gUDecfr7IQ4Tj7g7RnLHoq2IqN",2)</f>
        <v/>
      </c>
      <c r="E260" s="5" t="str">
        <f>IMAGE("https://drive.google.com/uc?export=view&amp;id=1QCFMz6gUDecfr7IQ4Tj7g7RnLHoq2IqN",1)</f>
        <v/>
      </c>
      <c r="F260" s="6" t="s">
        <v>1349</v>
      </c>
      <c r="G260" s="6" t="s">
        <v>1350</v>
      </c>
      <c r="H260" s="1" t="s">
        <v>820</v>
      </c>
      <c r="I260" s="7">
        <v>46017.51816010417</v>
      </c>
      <c r="J260" s="7">
        <v>46010.990648148145</v>
      </c>
      <c r="K260" s="1" t="s">
        <v>821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60.0" customHeight="1">
      <c r="A261" s="1" t="s">
        <v>1351</v>
      </c>
      <c r="B261" s="1" t="s">
        <v>1352</v>
      </c>
      <c r="C261" s="2" t="s">
        <v>1353</v>
      </c>
      <c r="D261" s="5" t="str">
        <f>IMAGE("https://drive.google.com/uc?export=view&amp;id=1izWXowT81_WRZrj-W8pV2bZMxJSefxRN",2)</f>
        <v/>
      </c>
      <c r="E261" s="5" t="str">
        <f>IMAGE("https://drive.google.com/uc?export=view&amp;id=1izWXowT81_WRZrj-W8pV2bZMxJSefxRN",1)</f>
        <v/>
      </c>
      <c r="F261" s="6" t="s">
        <v>1354</v>
      </c>
      <c r="G261" s="6" t="s">
        <v>1355</v>
      </c>
      <c r="H261" s="1" t="s">
        <v>30</v>
      </c>
      <c r="I261" s="7">
        <v>45897.45768461806</v>
      </c>
      <c r="J261" s="7">
        <v>45913.554061076386</v>
      </c>
      <c r="K261" s="1" t="s">
        <v>31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60.0" customHeight="1">
      <c r="A262" s="1" t="s">
        <v>1356</v>
      </c>
      <c r="B262" s="1" t="s">
        <v>1357</v>
      </c>
      <c r="C262" s="2" t="s">
        <v>1358</v>
      </c>
      <c r="D262" s="5" t="str">
        <f>IMAGE("https://drive.google.com/uc?export=view&amp;id=14d9cOQD8FMP9H1PYX6tPzpO3z5h9LxV0",2)</f>
        <v/>
      </c>
      <c r="E262" s="5" t="str">
        <f>IMAGE("https://drive.google.com/uc?export=view&amp;id=14d9cOQD8FMP9H1PYX6tPzpO3z5h9LxV0",1)</f>
        <v/>
      </c>
      <c r="F262" s="6" t="s">
        <v>1359</v>
      </c>
      <c r="G262" s="6" t="s">
        <v>1360</v>
      </c>
      <c r="H262" s="1" t="s">
        <v>16</v>
      </c>
      <c r="I262" s="7">
        <v>45890.55537469908</v>
      </c>
      <c r="J262" s="7">
        <v>45890.55749760417</v>
      </c>
      <c r="K262" s="1" t="s">
        <v>17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60.0" customHeight="1">
      <c r="A263" s="1" t="s">
        <v>1361</v>
      </c>
      <c r="B263" s="1" t="s">
        <v>1362</v>
      </c>
      <c r="C263" s="2" t="s">
        <v>1363</v>
      </c>
      <c r="D263" s="5" t="str">
        <f>IMAGE("https://drive.google.com/uc?export=view&amp;id=1-zqSms0ju8dvKQuPCCE4Wac8old219dH",2)</f>
        <v/>
      </c>
      <c r="E263" s="5" t="str">
        <f>IMAGE("https://drive.google.com/uc?export=view&amp;id=1-zqSms0ju8dvKQuPCCE4Wac8old219dH",1)</f>
        <v/>
      </c>
      <c r="F263" s="6" t="s">
        <v>1364</v>
      </c>
      <c r="G263" s="6" t="s">
        <v>1365</v>
      </c>
      <c r="H263" s="1" t="s">
        <v>23</v>
      </c>
      <c r="I263" s="7">
        <v>45898.584572314816</v>
      </c>
      <c r="J263" s="7">
        <v>45898.57765046296</v>
      </c>
      <c r="K263" s="1" t="s">
        <v>24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60.0" customHeight="1">
      <c r="A264" s="1" t="s">
        <v>1366</v>
      </c>
      <c r="B264" s="1" t="s">
        <v>1367</v>
      </c>
      <c r="C264" s="2" t="s">
        <v>1368</v>
      </c>
      <c r="D264" s="5" t="str">
        <f>IMAGE("https://drive.google.com/uc?export=view&amp;id=1ygTll700tkJp7Wc-cDijWmJuxaqS0p7H",2)</f>
        <v/>
      </c>
      <c r="E264" s="5" t="str">
        <f>IMAGE("https://drive.google.com/uc?export=view&amp;id=1ygTll700tkJp7Wc-cDijWmJuxaqS0p7H",1)</f>
        <v/>
      </c>
      <c r="F264" s="6" t="s">
        <v>1369</v>
      </c>
      <c r="G264" s="6" t="s">
        <v>1370</v>
      </c>
      <c r="H264" s="1" t="s">
        <v>114</v>
      </c>
      <c r="I264" s="7">
        <v>45828.54551795139</v>
      </c>
      <c r="J264" s="7">
        <v>45860.70147299768</v>
      </c>
      <c r="K264" s="1" t="s">
        <v>115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60.0" customHeight="1">
      <c r="A265" s="1" t="s">
        <v>1371</v>
      </c>
      <c r="B265" s="1" t="s">
        <v>1372</v>
      </c>
      <c r="C265" s="2" t="s">
        <v>1373</v>
      </c>
      <c r="D265" s="5" t="str">
        <f>IMAGE("https://drive.google.com/uc?export=view&amp;id=1B4tnDfTGBPqhBr2Cw1eb5jro3xsNUNGL",2)</f>
        <v/>
      </c>
      <c r="E265" s="5" t="str">
        <f>IMAGE("https://drive.google.com/uc?export=view&amp;id=1B4tnDfTGBPqhBr2Cw1eb5jro3xsNUNGL",1)</f>
        <v/>
      </c>
      <c r="F265" s="6" t="s">
        <v>1374</v>
      </c>
      <c r="G265" s="6" t="s">
        <v>1375</v>
      </c>
      <c r="H265" s="1" t="s">
        <v>114</v>
      </c>
      <c r="I265" s="7">
        <v>45828.54567626158</v>
      </c>
      <c r="J265" s="7">
        <v>45860.70163304398</v>
      </c>
      <c r="K265" s="1" t="s">
        <v>115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60.0" customHeight="1">
      <c r="A266" s="1" t="s">
        <v>1376</v>
      </c>
      <c r="B266" s="1" t="s">
        <v>1377</v>
      </c>
      <c r="C266" s="2" t="s">
        <v>1378</v>
      </c>
      <c r="D266" s="5" t="str">
        <f>IMAGE("https://drive.google.com/uc?export=view&amp;id=1IS9j2ED1ZSBgQWT7_bZ_8RjbAGQjw64j",2)</f>
        <v/>
      </c>
      <c r="E266" s="5" t="str">
        <f>IMAGE("https://drive.google.com/uc?export=view&amp;id=1IS9j2ED1ZSBgQWT7_bZ_8RjbAGQjw64j",1)</f>
        <v/>
      </c>
      <c r="F266" s="6" t="s">
        <v>1379</v>
      </c>
      <c r="G266" s="6" t="s">
        <v>1380</v>
      </c>
      <c r="H266" s="1" t="s">
        <v>820</v>
      </c>
      <c r="I266" s="7">
        <v>46017.51829905093</v>
      </c>
      <c r="J266" s="7">
        <v>46012.71392361111</v>
      </c>
      <c r="K266" s="1" t="s">
        <v>821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60.0" customHeight="1">
      <c r="A267" s="1" t="s">
        <v>1381</v>
      </c>
      <c r="B267" s="1" t="s">
        <v>1382</v>
      </c>
      <c r="C267" s="2" t="s">
        <v>1383</v>
      </c>
      <c r="D267" s="5" t="str">
        <f>IMAGE("https://drive.google.com/uc?export=view&amp;id=1UFCkwEfq_R1r-dgWmyafgeIGwygWAnvM",2)</f>
        <v/>
      </c>
      <c r="E267" s="5" t="str">
        <f>IMAGE("https://drive.google.com/uc?export=view&amp;id=1UFCkwEfq_R1r-dgWmyafgeIGwygWAnvM",1)</f>
        <v/>
      </c>
      <c r="F267" s="6" t="s">
        <v>1384</v>
      </c>
      <c r="G267" s="6" t="s">
        <v>1385</v>
      </c>
      <c r="H267" s="1" t="s">
        <v>70</v>
      </c>
      <c r="I267" s="7">
        <v>45889.64451489583</v>
      </c>
      <c r="J267" s="7">
        <v>45889.645426006944</v>
      </c>
      <c r="K267" s="1" t="s">
        <v>71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60.0" customHeight="1">
      <c r="A268" s="1" t="s">
        <v>1386</v>
      </c>
      <c r="B268" s="1" t="s">
        <v>1387</v>
      </c>
      <c r="C268" s="2" t="s">
        <v>1388</v>
      </c>
      <c r="D268" s="5" t="str">
        <f>IMAGE("https://drive.google.com/uc?export=view&amp;id=1Xidz714qCkKSdjQP3hzKGyQEgzBgo57u",2)</f>
        <v/>
      </c>
      <c r="E268" s="5" t="str">
        <f>IMAGE("https://drive.google.com/uc?export=view&amp;id=1Xidz714qCkKSdjQP3hzKGyQEgzBgo57u",1)</f>
        <v/>
      </c>
      <c r="F268" s="6" t="s">
        <v>1389</v>
      </c>
      <c r="G268" s="6" t="s">
        <v>1390</v>
      </c>
      <c r="H268" s="1" t="s">
        <v>16</v>
      </c>
      <c r="I268" s="7">
        <v>45887.50124846065</v>
      </c>
      <c r="J268" s="7">
        <v>45890.4736462037</v>
      </c>
      <c r="K268" s="1" t="s">
        <v>17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60.0" customHeight="1">
      <c r="A269" s="1" t="s">
        <v>1391</v>
      </c>
      <c r="B269" s="1" t="s">
        <v>1392</v>
      </c>
      <c r="C269" s="2" t="s">
        <v>1393</v>
      </c>
      <c r="D269" s="5" t="str">
        <f>IMAGE("https://drive.google.com/uc?export=view&amp;id=16sMsqGpD-MiUMg6QlM2nNZh0jkepw3XH",2)</f>
        <v/>
      </c>
      <c r="E269" s="5" t="str">
        <f>IMAGE("https://drive.google.com/uc?export=view&amp;id=16sMsqGpD-MiUMg6QlM2nNZh0jkepw3XH",1)</f>
        <v/>
      </c>
      <c r="F269" s="6" t="s">
        <v>1394</v>
      </c>
      <c r="G269" s="6" t="s">
        <v>1395</v>
      </c>
      <c r="H269" s="1" t="s">
        <v>23</v>
      </c>
      <c r="I269" s="7">
        <v>45898.584572314816</v>
      </c>
      <c r="J269" s="7">
        <v>45898.57765046296</v>
      </c>
      <c r="K269" s="1" t="s">
        <v>24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60.0" customHeight="1">
      <c r="A270" s="1" t="s">
        <v>1396</v>
      </c>
      <c r="B270" s="1" t="s">
        <v>1397</v>
      </c>
      <c r="C270" s="2" t="s">
        <v>1398</v>
      </c>
      <c r="D270" s="5" t="str">
        <f>IMAGE("https://drive.google.com/uc?export=view&amp;id=1ugPRy1JoZzo8pPVYorK8ZiQOaiqy3VJV",2)</f>
        <v/>
      </c>
      <c r="E270" s="5" t="str">
        <f>IMAGE("https://drive.google.com/uc?export=view&amp;id=1ugPRy1JoZzo8pPVYorK8ZiQOaiqy3VJV",1)</f>
        <v/>
      </c>
      <c r="F270" s="6" t="s">
        <v>1399</v>
      </c>
      <c r="G270" s="6" t="s">
        <v>1400</v>
      </c>
      <c r="H270" s="1" t="s">
        <v>114</v>
      </c>
      <c r="I270" s="7">
        <v>45792.39935137732</v>
      </c>
      <c r="J270" s="7">
        <v>45860.7018077199</v>
      </c>
      <c r="K270" s="1" t="s">
        <v>115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60.0" customHeight="1">
      <c r="A271" s="1" t="s">
        <v>1401</v>
      </c>
      <c r="B271" s="1" t="s">
        <v>1402</v>
      </c>
      <c r="C271" s="2" t="s">
        <v>1403</v>
      </c>
      <c r="D271" s="5" t="str">
        <f>IMAGE("https://drive.google.com/uc?export=view&amp;id=1q7alJv95lZLsTs5SK7SUiG8w7RVuPhyh",2)</f>
        <v/>
      </c>
      <c r="E271" s="5" t="str">
        <f>IMAGE("https://drive.google.com/uc?export=view&amp;id=1q7alJv95lZLsTs5SK7SUiG8w7RVuPhyh",1)</f>
        <v/>
      </c>
      <c r="F271" s="6" t="s">
        <v>1404</v>
      </c>
      <c r="G271" s="6" t="s">
        <v>1405</v>
      </c>
      <c r="H271" s="1" t="s">
        <v>70</v>
      </c>
      <c r="I271" s="7">
        <v>45889.742760127316</v>
      </c>
      <c r="J271" s="7">
        <v>45889.74878071759</v>
      </c>
      <c r="K271" s="1" t="s">
        <v>71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60.0" customHeight="1">
      <c r="A272" s="1" t="s">
        <v>1406</v>
      </c>
      <c r="B272" s="1" t="s">
        <v>1407</v>
      </c>
      <c r="C272" s="2" t="s">
        <v>1408</v>
      </c>
      <c r="D272" s="5" t="str">
        <f>IMAGE("https://drive.google.com/uc?export=view&amp;id=1M_OLDHd1IGQhOhIDkerQvEpeqlVKncgg",2)</f>
        <v/>
      </c>
      <c r="E272" s="5" t="str">
        <f>IMAGE("https://drive.google.com/uc?export=view&amp;id=1M_OLDHd1IGQhOhIDkerQvEpeqlVKncgg",1)</f>
        <v/>
      </c>
      <c r="F272" s="6" t="s">
        <v>1409</v>
      </c>
      <c r="G272" s="6" t="s">
        <v>1410</v>
      </c>
      <c r="H272" s="1" t="s">
        <v>70</v>
      </c>
      <c r="I272" s="7">
        <v>45889.69046347222</v>
      </c>
      <c r="J272" s="7">
        <v>45889.69061693287</v>
      </c>
      <c r="K272" s="1" t="s">
        <v>71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60.0" customHeight="1">
      <c r="A273" s="1" t="s">
        <v>1411</v>
      </c>
      <c r="B273" s="1" t="s">
        <v>1412</v>
      </c>
      <c r="C273" s="2" t="s">
        <v>1413</v>
      </c>
      <c r="D273" s="5" t="str">
        <f>IMAGE("https://drive.google.com/uc?export=view&amp;id=186pJVYWZ9Vi2qfzcq7yhemtsftRI8Lny",2)</f>
        <v/>
      </c>
      <c r="E273" s="5" t="str">
        <f>IMAGE("https://drive.google.com/uc?export=view&amp;id=186pJVYWZ9Vi2qfzcq7yhemtsftRI8Lny",1)</f>
        <v/>
      </c>
      <c r="F273" s="6" t="s">
        <v>1414</v>
      </c>
      <c r="G273" s="6" t="s">
        <v>1415</v>
      </c>
      <c r="H273" s="1" t="s">
        <v>70</v>
      </c>
      <c r="I273" s="7">
        <v>45889.75042231481</v>
      </c>
      <c r="J273" s="7">
        <v>45889.750578032406</v>
      </c>
      <c r="K273" s="1" t="s">
        <v>71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60.0" customHeight="1">
      <c r="A274" s="1" t="s">
        <v>1416</v>
      </c>
      <c r="B274" s="1" t="s">
        <v>1417</v>
      </c>
      <c r="C274" s="2" t="s">
        <v>1418</v>
      </c>
      <c r="D274" s="5" t="str">
        <f>IMAGE("https://drive.google.com/uc?export=view&amp;id=14gmnIKDIqC3M1ipIjJEL8NWaNoQuMMON",2)</f>
        <v/>
      </c>
      <c r="E274" s="5" t="str">
        <f>IMAGE("https://drive.google.com/uc?export=view&amp;id=14gmnIKDIqC3M1ipIjJEL8NWaNoQuMMON",1)</f>
        <v/>
      </c>
      <c r="F274" s="6" t="s">
        <v>1419</v>
      </c>
      <c r="G274" s="6" t="s">
        <v>1420</v>
      </c>
      <c r="H274" s="1" t="s">
        <v>70</v>
      </c>
      <c r="I274" s="7">
        <v>45889.74867847222</v>
      </c>
      <c r="J274" s="7">
        <v>45889.748969837965</v>
      </c>
      <c r="K274" s="1" t="s">
        <v>71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60.0" customHeight="1">
      <c r="A275" s="1" t="s">
        <v>1421</v>
      </c>
      <c r="B275" s="1" t="s">
        <v>1422</v>
      </c>
      <c r="C275" s="2" t="s">
        <v>1423</v>
      </c>
      <c r="D275" s="5" t="str">
        <f>IMAGE("https://drive.google.com/uc?export=view&amp;id=1genfc3fge5dqRVLRYQKzoNChj0S83Rgr",2)</f>
        <v/>
      </c>
      <c r="E275" s="5" t="str">
        <f>IMAGE("https://drive.google.com/uc?export=view&amp;id=1genfc3fge5dqRVLRYQKzoNChj0S83Rgr",1)</f>
        <v/>
      </c>
      <c r="F275" s="6" t="s">
        <v>1424</v>
      </c>
      <c r="G275" s="6" t="s">
        <v>1425</v>
      </c>
      <c r="H275" s="1" t="s">
        <v>70</v>
      </c>
      <c r="I275" s="7">
        <v>45889.7388093287</v>
      </c>
      <c r="J275" s="7">
        <v>45889.73894299769</v>
      </c>
      <c r="K275" s="1" t="s">
        <v>71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60.0" customHeight="1">
      <c r="A276" s="1" t="s">
        <v>1426</v>
      </c>
      <c r="B276" s="1" t="s">
        <v>1427</v>
      </c>
      <c r="C276" s="2" t="s">
        <v>1428</v>
      </c>
      <c r="D276" s="5" t="str">
        <f>IMAGE("https://drive.google.com/uc?export=view&amp;id=1wsdaVVnokvsETcwtJQQoqyPV0sYI8FDT",2)</f>
        <v/>
      </c>
      <c r="E276" s="5" t="str">
        <f>IMAGE("https://drive.google.com/uc?export=view&amp;id=1wsdaVVnokvsETcwtJQQoqyPV0sYI8FDT",1)</f>
        <v/>
      </c>
      <c r="F276" s="6" t="s">
        <v>1429</v>
      </c>
      <c r="G276" s="6" t="s">
        <v>1430</v>
      </c>
      <c r="H276" s="1" t="s">
        <v>16</v>
      </c>
      <c r="I276" s="7">
        <v>45887.502109699075</v>
      </c>
      <c r="J276" s="7">
        <v>45890.47382189815</v>
      </c>
      <c r="K276" s="1" t="s">
        <v>17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60.0" customHeight="1">
      <c r="A277" s="1" t="s">
        <v>1431</v>
      </c>
      <c r="B277" s="1" t="s">
        <v>1432</v>
      </c>
      <c r="C277" s="2" t="s">
        <v>1433</v>
      </c>
      <c r="D277" s="5" t="str">
        <f>IMAGE("https://drive.google.com/uc?export=view&amp;id=1gVUWox-bbn96MVXAYKMSwGcHbu8CVjWf",2)</f>
        <v/>
      </c>
      <c r="E277" s="5" t="str">
        <f>IMAGE("https://drive.google.com/uc?export=view&amp;id=1gVUWox-bbn96MVXAYKMSwGcHbu8CVjWf",1)</f>
        <v/>
      </c>
      <c r="F277" s="6" t="s">
        <v>1434</v>
      </c>
      <c r="G277" s="6" t="s">
        <v>1435</v>
      </c>
      <c r="H277" s="1" t="s">
        <v>23</v>
      </c>
      <c r="I277" s="7">
        <v>45898.58435462963</v>
      </c>
      <c r="J277" s="7">
        <v>45898.57766203704</v>
      </c>
      <c r="K277" s="1" t="s">
        <v>24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60.0" customHeight="1">
      <c r="A278" s="1" t="s">
        <v>1436</v>
      </c>
      <c r="B278" s="1" t="s">
        <v>1437</v>
      </c>
      <c r="C278" s="2" t="s">
        <v>1438</v>
      </c>
      <c r="D278" s="5" t="str">
        <f>IMAGE("https://drive.google.com/uc?export=view&amp;id=1KEILrqql_KhdfXDEP0qAkXIOhP_CjgcT",2)</f>
        <v/>
      </c>
      <c r="E278" s="5" t="str">
        <f>IMAGE("https://drive.google.com/uc?export=view&amp;id=1KEILrqql_KhdfXDEP0qAkXIOhP_CjgcT",1)</f>
        <v/>
      </c>
      <c r="F278" s="6" t="s">
        <v>1439</v>
      </c>
      <c r="G278" s="6" t="s">
        <v>1440</v>
      </c>
      <c r="H278" s="1" t="s">
        <v>70</v>
      </c>
      <c r="I278" s="7">
        <v>45889.74116193287</v>
      </c>
      <c r="J278" s="7">
        <v>45889.74127831019</v>
      </c>
      <c r="K278" s="1" t="s">
        <v>71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60.0" customHeight="1">
      <c r="A279" s="1" t="s">
        <v>1441</v>
      </c>
      <c r="B279" s="1" t="s">
        <v>1442</v>
      </c>
      <c r="C279" s="2" t="s">
        <v>1443</v>
      </c>
      <c r="D279" s="5" t="str">
        <f>IMAGE("https://drive.google.com/uc?export=view&amp;id=1oMKCm9vt1nBGJR35DvbN7kMsoN2ne6kp",2)</f>
        <v/>
      </c>
      <c r="E279" s="5" t="str">
        <f>IMAGE("https://drive.google.com/uc?export=view&amp;id=1oMKCm9vt1nBGJR35DvbN7kMsoN2ne6kp",1)</f>
        <v/>
      </c>
      <c r="F279" s="6" t="s">
        <v>1444</v>
      </c>
      <c r="G279" s="6" t="s">
        <v>1445</v>
      </c>
      <c r="H279" s="1" t="s">
        <v>16</v>
      </c>
      <c r="I279" s="7">
        <v>45887.50139839121</v>
      </c>
      <c r="J279" s="7">
        <v>45890.472140763886</v>
      </c>
      <c r="K279" s="1" t="s">
        <v>17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60.0" customHeight="1">
      <c r="A280" s="1" t="s">
        <v>1446</v>
      </c>
      <c r="B280" s="1" t="s">
        <v>1447</v>
      </c>
      <c r="C280" s="2" t="s">
        <v>1448</v>
      </c>
      <c r="D280" s="5" t="str">
        <f>IMAGE("https://drive.google.com/uc?export=view&amp;id=19RrxusTFzeX1oRf-KbJ8YX6yqPmg3wSa",2)</f>
        <v/>
      </c>
      <c r="E280" s="5" t="str">
        <f>IMAGE("https://drive.google.com/uc?export=view&amp;id=19RrxusTFzeX1oRf-KbJ8YX6yqPmg3wSa",1)</f>
        <v/>
      </c>
      <c r="F280" s="6" t="s">
        <v>1449</v>
      </c>
      <c r="G280" s="6" t="s">
        <v>1450</v>
      </c>
      <c r="H280" s="1" t="s">
        <v>23</v>
      </c>
      <c r="I280" s="7">
        <v>45898.58415988426</v>
      </c>
      <c r="J280" s="7">
        <v>45898.57766203704</v>
      </c>
      <c r="K280" s="1" t="s">
        <v>24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60.0" customHeight="1">
      <c r="A281" s="1" t="s">
        <v>1451</v>
      </c>
      <c r="B281" s="1" t="s">
        <v>1452</v>
      </c>
      <c r="C281" s="2" t="s">
        <v>1453</v>
      </c>
      <c r="D281" s="5" t="str">
        <f>IMAGE("https://drive.google.com/uc?export=view&amp;id=1VF6jOFgSDHPYxoGmk14JdPdGF3w6jlXn",2)</f>
        <v/>
      </c>
      <c r="E281" s="5" t="str">
        <f>IMAGE("https://drive.google.com/uc?export=view&amp;id=1VF6jOFgSDHPYxoGmk14JdPdGF3w6jlXn",1)</f>
        <v/>
      </c>
      <c r="F281" s="6" t="s">
        <v>1454</v>
      </c>
      <c r="G281" s="6" t="s">
        <v>1455</v>
      </c>
      <c r="H281" s="1" t="s">
        <v>30</v>
      </c>
      <c r="I281" s="7">
        <v>45913.54379376158</v>
      </c>
      <c r="J281" s="7">
        <v>45901.43188657408</v>
      </c>
      <c r="K281" s="1" t="s">
        <v>31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60.0" customHeight="1">
      <c r="A282" s="1" t="s">
        <v>1456</v>
      </c>
      <c r="B282" s="1" t="s">
        <v>1457</v>
      </c>
      <c r="C282" s="2" t="s">
        <v>1458</v>
      </c>
      <c r="D282" s="5" t="str">
        <f>IMAGE("https://drive.google.com/uc?export=view&amp;id=19JyUnK-vB7e6o7hGo-YK9jfdlc6OB9Jc",2)</f>
        <v/>
      </c>
      <c r="E282" s="5" t="str">
        <f>IMAGE("https://drive.google.com/uc?export=view&amp;id=19JyUnK-vB7e6o7hGo-YK9jfdlc6OB9Jc",1)</f>
        <v/>
      </c>
      <c r="F282" s="6" t="s">
        <v>1459</v>
      </c>
      <c r="G282" s="6" t="s">
        <v>1460</v>
      </c>
      <c r="H282" s="1" t="s">
        <v>427</v>
      </c>
      <c r="I282" s="7">
        <v>46069.916060648146</v>
      </c>
      <c r="J282" s="7">
        <v>46068.76747685185</v>
      </c>
      <c r="K282" s="1" t="s">
        <v>428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60.0" customHeight="1">
      <c r="A283" s="1" t="s">
        <v>1461</v>
      </c>
      <c r="B283" s="1" t="s">
        <v>1462</v>
      </c>
      <c r="C283" s="2" t="s">
        <v>1463</v>
      </c>
      <c r="D283" s="5" t="str">
        <f>IMAGE("https://drive.google.com/uc?export=view&amp;id=1Z4IfvjzAdAU-smgZJA4qNnfiiNMJf0QJ",2)</f>
        <v/>
      </c>
      <c r="E283" s="5" t="str">
        <f>IMAGE("https://drive.google.com/uc?export=view&amp;id=1Z4IfvjzAdAU-smgZJA4qNnfiiNMJf0QJ",1)</f>
        <v/>
      </c>
      <c r="F283" s="6" t="s">
        <v>1464</v>
      </c>
      <c r="G283" s="6" t="s">
        <v>1465</v>
      </c>
      <c r="H283" s="1" t="s">
        <v>63</v>
      </c>
      <c r="I283" s="7">
        <v>45828.542762881945</v>
      </c>
      <c r="J283" s="7">
        <v>45860.6913412963</v>
      </c>
      <c r="K283" s="1" t="s">
        <v>64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60.0" customHeight="1">
      <c r="A284" s="1" t="s">
        <v>1466</v>
      </c>
      <c r="B284" s="1" t="s">
        <v>1467</v>
      </c>
      <c r="C284" s="2" t="s">
        <v>1468</v>
      </c>
      <c r="D284" s="5" t="str">
        <f>IMAGE("https://drive.google.com/uc?export=view&amp;id=1Y4SaFH4HW53xjAJRVjIrXkcMDSj_3cNW",2)</f>
        <v/>
      </c>
      <c r="E284" s="5" t="str">
        <f>IMAGE("https://drive.google.com/uc?export=view&amp;id=1Y4SaFH4HW53xjAJRVjIrXkcMDSj_3cNW",1)</f>
        <v/>
      </c>
      <c r="F284" s="6" t="s">
        <v>1469</v>
      </c>
      <c r="G284" s="6" t="s">
        <v>1470</v>
      </c>
      <c r="H284" s="1" t="s">
        <v>128</v>
      </c>
      <c r="I284" s="7">
        <v>45792.399515902776</v>
      </c>
      <c r="J284" s="7">
        <v>45860.70198677083</v>
      </c>
      <c r="K284" s="1" t="s">
        <v>129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60.0" customHeight="1">
      <c r="A285" s="1" t="s">
        <v>1466</v>
      </c>
      <c r="B285" s="1" t="s">
        <v>1467</v>
      </c>
      <c r="C285" s="2" t="s">
        <v>1471</v>
      </c>
      <c r="D285" s="5" t="str">
        <f>IMAGE("https://drive.google.com/uc?export=view&amp;id=1pvI3bcRHrIPI3eRYaNs59WW4WGMf6qJd",2)</f>
        <v/>
      </c>
      <c r="E285" s="5" t="str">
        <f>IMAGE("https://drive.google.com/uc?export=view&amp;id=1pvI3bcRHrIPI3eRYaNs59WW4WGMf6qJd",1)</f>
        <v/>
      </c>
      <c r="F285" s="6" t="s">
        <v>1472</v>
      </c>
      <c r="G285" s="6" t="s">
        <v>1473</v>
      </c>
      <c r="H285" s="1" t="s">
        <v>16</v>
      </c>
      <c r="I285" s="7">
        <v>45887.501560370365</v>
      </c>
      <c r="J285" s="7">
        <v>45890.47231341436</v>
      </c>
      <c r="K285" s="1" t="s">
        <v>17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60.0" customHeight="1">
      <c r="A286" s="1" t="s">
        <v>1474</v>
      </c>
      <c r="B286" s="1" t="s">
        <v>1475</v>
      </c>
      <c r="C286" s="2" t="s">
        <v>1476</v>
      </c>
      <c r="D286" s="5" t="str">
        <f>IMAGE("https://drive.google.com/uc?export=view&amp;id=1_Hdqwh2IyIv3Kq9hJUGfHo4CiFvyWMAS",2)</f>
        <v/>
      </c>
      <c r="E286" s="5" t="str">
        <f>IMAGE("https://drive.google.com/uc?export=view&amp;id=1_Hdqwh2IyIv3Kq9hJUGfHo4CiFvyWMAS",1)</f>
        <v/>
      </c>
      <c r="F286" s="6" t="s">
        <v>1477</v>
      </c>
      <c r="G286" s="6" t="s">
        <v>1478</v>
      </c>
      <c r="H286" s="1" t="s">
        <v>23</v>
      </c>
      <c r="I286" s="7">
        <v>45898.584187395834</v>
      </c>
      <c r="J286" s="7">
        <v>45898.57766203704</v>
      </c>
      <c r="K286" s="1" t="s">
        <v>24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60.0" customHeight="1">
      <c r="A287" s="1" t="s">
        <v>1479</v>
      </c>
      <c r="B287" s="1" t="s">
        <v>1480</v>
      </c>
      <c r="C287" s="2" t="s">
        <v>1481</v>
      </c>
      <c r="D287" s="5" t="str">
        <f>IMAGE("https://drive.google.com/uc?export=view&amp;id=1UiejoR7J7zw4BuCvSpikNpBezt6uwKtO",2)</f>
        <v/>
      </c>
      <c r="E287" s="5" t="str">
        <f>IMAGE("https://drive.google.com/uc?export=view&amp;id=1UiejoR7J7zw4BuCvSpikNpBezt6uwKtO",1)</f>
        <v/>
      </c>
      <c r="F287" s="6" t="s">
        <v>1482</v>
      </c>
      <c r="G287" s="6" t="s">
        <v>1483</v>
      </c>
      <c r="H287" s="1" t="s">
        <v>128</v>
      </c>
      <c r="I287" s="7">
        <v>45869.5615908912</v>
      </c>
      <c r="J287" s="7">
        <v>45869.561673171294</v>
      </c>
      <c r="K287" s="1" t="s">
        <v>129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60.0" customHeight="1">
      <c r="A288" s="1" t="s">
        <v>1484</v>
      </c>
      <c r="B288" s="1" t="s">
        <v>1485</v>
      </c>
      <c r="C288" s="2" t="s">
        <v>1486</v>
      </c>
      <c r="D288" s="5" t="str">
        <f>IMAGE("https://drive.google.com/uc?export=view&amp;id=1y5H-xoC6jsTlvndvmoUQ2C97R99e1UKS",2)</f>
        <v/>
      </c>
      <c r="E288" s="5" t="str">
        <f>IMAGE("https://drive.google.com/uc?export=view&amp;id=1y5H-xoC6jsTlvndvmoUQ2C97R99e1UKS",1)</f>
        <v/>
      </c>
      <c r="F288" s="6" t="s">
        <v>1487</v>
      </c>
      <c r="G288" s="6" t="s">
        <v>1488</v>
      </c>
      <c r="H288" s="1" t="s">
        <v>128</v>
      </c>
      <c r="I288" s="7">
        <v>45869.57500087963</v>
      </c>
      <c r="J288" s="7">
        <v>45869.57506121528</v>
      </c>
      <c r="K288" s="1" t="s">
        <v>129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60.0" customHeight="1">
      <c r="A289" s="1" t="s">
        <v>1484</v>
      </c>
      <c r="B289" s="1" t="s">
        <v>1485</v>
      </c>
      <c r="C289" s="2" t="s">
        <v>1489</v>
      </c>
      <c r="D289" s="5" t="str">
        <f>IMAGE("https://drive.google.com/uc?export=view&amp;id=1LbggHdDDiCS6nkK0-ea-7jKmTIzsJsGl",2)</f>
        <v/>
      </c>
      <c r="E289" s="5" t="str">
        <f>IMAGE("https://drive.google.com/uc?export=view&amp;id=1LbggHdDDiCS6nkK0-ea-7jKmTIzsJsGl",1)</f>
        <v/>
      </c>
      <c r="F289" s="6" t="s">
        <v>1490</v>
      </c>
      <c r="G289" s="6" t="s">
        <v>1491</v>
      </c>
      <c r="H289" s="1" t="s">
        <v>16</v>
      </c>
      <c r="I289" s="7">
        <v>45887.50170842593</v>
      </c>
      <c r="J289" s="7">
        <v>45890.472486377315</v>
      </c>
      <c r="K289" s="1" t="s">
        <v>17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60.0" customHeight="1">
      <c r="A290" s="1" t="s">
        <v>1492</v>
      </c>
      <c r="B290" s="1" t="s">
        <v>1493</v>
      </c>
      <c r="C290" s="2" t="s">
        <v>1494</v>
      </c>
      <c r="D290" s="5" t="str">
        <f>IMAGE("https://drive.google.com/uc?export=view&amp;id=1_HtV-kgkANXKreI88PUhv7lvmyH4WB72",2)</f>
        <v/>
      </c>
      <c r="E290" s="5" t="str">
        <f>IMAGE("https://drive.google.com/uc?export=view&amp;id=1_HtV-kgkANXKreI88PUhv7lvmyH4WB72",1)</f>
        <v/>
      </c>
      <c r="F290" s="6" t="s">
        <v>1495</v>
      </c>
      <c r="G290" s="6" t="s">
        <v>1496</v>
      </c>
      <c r="H290" s="1" t="s">
        <v>16</v>
      </c>
      <c r="I290" s="7">
        <v>45890.45892769676</v>
      </c>
      <c r="J290" s="7">
        <v>45890.58384756945</v>
      </c>
      <c r="K290" s="1" t="s">
        <v>17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60.0" customHeight="1">
      <c r="A291" s="1" t="s">
        <v>1497</v>
      </c>
      <c r="B291" s="1" t="s">
        <v>1498</v>
      </c>
      <c r="C291" s="2" t="s">
        <v>1499</v>
      </c>
      <c r="D291" s="5" t="str">
        <f>IMAGE("https://drive.google.com/uc?export=view&amp;id=1h5t-P1nz2T9C08IYB1vV71nQsrMNf70p",2)</f>
        <v/>
      </c>
      <c r="E291" s="5" t="str">
        <f>IMAGE("https://drive.google.com/uc?export=view&amp;id=1h5t-P1nz2T9C08IYB1vV71nQsrMNf70p",1)</f>
        <v/>
      </c>
      <c r="F291" s="6" t="s">
        <v>1500</v>
      </c>
      <c r="G291" s="6" t="s">
        <v>1501</v>
      </c>
      <c r="H291" s="1" t="s">
        <v>23</v>
      </c>
      <c r="I291" s="7">
        <v>45898.584205</v>
      </c>
      <c r="J291" s="7">
        <v>45898.57766203704</v>
      </c>
      <c r="K291" s="1" t="s">
        <v>24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60.0" customHeight="1">
      <c r="A292" s="1" t="s">
        <v>1502</v>
      </c>
      <c r="B292" s="1" t="s">
        <v>1503</v>
      </c>
      <c r="C292" s="2" t="s">
        <v>1504</v>
      </c>
      <c r="D292" s="5" t="str">
        <f>IMAGE("https://drive.google.com/uc?export=view&amp;id=1asv7PKWKdQZ69mqJ_D0MeNl9N_YaMU43",2)</f>
        <v/>
      </c>
      <c r="E292" s="5" t="str">
        <f>IMAGE("https://drive.google.com/uc?export=view&amp;id=1asv7PKWKdQZ69mqJ_D0MeNl9N_YaMU43",1)</f>
        <v/>
      </c>
      <c r="F292" s="6" t="s">
        <v>1505</v>
      </c>
      <c r="G292" s="6" t="s">
        <v>1506</v>
      </c>
      <c r="H292" s="1" t="s">
        <v>23</v>
      </c>
      <c r="I292" s="7">
        <v>45898.58423288194</v>
      </c>
      <c r="J292" s="7">
        <v>45898.57766203704</v>
      </c>
      <c r="K292" s="1" t="s">
        <v>24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60.0" customHeight="1">
      <c r="A293" s="1" t="s">
        <v>1507</v>
      </c>
      <c r="B293" s="1" t="s">
        <v>1508</v>
      </c>
      <c r="C293" s="2" t="s">
        <v>1509</v>
      </c>
      <c r="D293" s="5" t="str">
        <f>IMAGE("https://drive.google.com/uc?export=view&amp;id=1ptQMwM2Cm0Q6LjEU491gL2z3JxFOshbC",2)</f>
        <v/>
      </c>
      <c r="E293" s="5" t="str">
        <f>IMAGE("https://drive.google.com/uc?export=view&amp;id=1ptQMwM2Cm0Q6LjEU491gL2z3JxFOshbC",1)</f>
        <v/>
      </c>
      <c r="F293" s="6" t="s">
        <v>1510</v>
      </c>
      <c r="G293" s="6" t="s">
        <v>1511</v>
      </c>
      <c r="H293" s="1" t="s">
        <v>30</v>
      </c>
      <c r="I293" s="7">
        <v>45897.45372063658</v>
      </c>
      <c r="J293" s="7">
        <v>45913.5493781713</v>
      </c>
      <c r="K293" s="1" t="s">
        <v>31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60.0" customHeight="1">
      <c r="A294" s="1" t="s">
        <v>1512</v>
      </c>
      <c r="B294" s="1" t="s">
        <v>1513</v>
      </c>
      <c r="C294" s="2" t="s">
        <v>1514</v>
      </c>
      <c r="D294" s="5" t="str">
        <f>IMAGE("https://drive.google.com/uc?export=view&amp;id=11oARel9zmj4XEvBSCb3QQvw5DzDrVg6O",2)</f>
        <v/>
      </c>
      <c r="E294" s="5" t="str">
        <f>IMAGE("https://drive.google.com/uc?export=view&amp;id=11oARel9zmj4XEvBSCb3QQvw5DzDrVg6O",1)</f>
        <v/>
      </c>
      <c r="F294" s="6" t="s">
        <v>1515</v>
      </c>
      <c r="G294" s="6" t="s">
        <v>1516</v>
      </c>
      <c r="H294" s="1" t="s">
        <v>16</v>
      </c>
      <c r="I294" s="7">
        <v>45873.51035092592</v>
      </c>
      <c r="J294" s="7">
        <v>45890.47261524305</v>
      </c>
      <c r="K294" s="1" t="s">
        <v>17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60.0" customHeight="1">
      <c r="A295" s="1" t="s">
        <v>1517</v>
      </c>
      <c r="B295" s="1" t="s">
        <v>1518</v>
      </c>
      <c r="C295" s="2" t="s">
        <v>1519</v>
      </c>
      <c r="D295" s="5" t="str">
        <f>IMAGE("https://drive.google.com/uc?export=view&amp;id=1jKK-PJnH3TAciOQoOQLASXgZxby2lV6I",2)</f>
        <v/>
      </c>
      <c r="E295" s="5" t="str">
        <f>IMAGE("https://drive.google.com/uc?export=view&amp;id=1jKK-PJnH3TAciOQoOQLASXgZxby2lV6I",1)</f>
        <v/>
      </c>
      <c r="F295" s="6" t="s">
        <v>1520</v>
      </c>
      <c r="G295" s="6" t="s">
        <v>1521</v>
      </c>
      <c r="H295" s="1" t="s">
        <v>23</v>
      </c>
      <c r="I295" s="7">
        <v>45898.584250960645</v>
      </c>
      <c r="J295" s="7">
        <v>45898.57766203704</v>
      </c>
      <c r="K295" s="1" t="s">
        <v>24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60.0" customHeight="1">
      <c r="A296" s="1" t="s">
        <v>1522</v>
      </c>
      <c r="B296" s="1" t="s">
        <v>1523</v>
      </c>
      <c r="C296" s="2" t="s">
        <v>1524</v>
      </c>
      <c r="D296" s="5" t="str">
        <f>IMAGE("https://drive.google.com/uc?export=view&amp;id=1w5DvloNu3jALSB5ix57VRqSgjbSR2IKA",2)</f>
        <v/>
      </c>
      <c r="E296" s="5" t="str">
        <f>IMAGE("https://drive.google.com/uc?export=view&amp;id=1w5DvloNu3jALSB5ix57VRqSgjbSR2IKA",1)</f>
        <v/>
      </c>
      <c r="F296" s="6" t="s">
        <v>1525</v>
      </c>
      <c r="G296" s="6" t="s">
        <v>1526</v>
      </c>
      <c r="H296" s="1" t="s">
        <v>16</v>
      </c>
      <c r="I296" s="7">
        <v>45872.78510995371</v>
      </c>
      <c r="J296" s="7">
        <v>45890.472762453704</v>
      </c>
      <c r="K296" s="1" t="s">
        <v>17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60.0" customHeight="1">
      <c r="A297" s="1" t="s">
        <v>1527</v>
      </c>
      <c r="B297" s="1" t="s">
        <v>1528</v>
      </c>
      <c r="C297" s="2" t="s">
        <v>1529</v>
      </c>
      <c r="D297" s="5" t="str">
        <f>IMAGE("https://drive.google.com/uc?export=view&amp;id=1s785w11E70wrziTZeopqVsW3fdIxmATg",2)</f>
        <v/>
      </c>
      <c r="E297" s="5" t="str">
        <f>IMAGE("https://drive.google.com/uc?export=view&amp;id=1s785w11E70wrziTZeopqVsW3fdIxmATg",1)</f>
        <v/>
      </c>
      <c r="F297" s="6" t="s">
        <v>1530</v>
      </c>
      <c r="G297" s="6" t="s">
        <v>1531</v>
      </c>
      <c r="H297" s="1" t="s">
        <v>23</v>
      </c>
      <c r="I297" s="7">
        <v>45898.584283449076</v>
      </c>
      <c r="J297" s="7">
        <v>45898.57766203704</v>
      </c>
      <c r="K297" s="1" t="s">
        <v>24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60.0" customHeight="1">
      <c r="A298" s="1" t="s">
        <v>1532</v>
      </c>
      <c r="B298" s="1" t="s">
        <v>1533</v>
      </c>
      <c r="C298" s="2" t="s">
        <v>1534</v>
      </c>
      <c r="D298" s="5" t="str">
        <f>IMAGE("https://drive.google.com/uc?export=view&amp;id=1PVchqvMYg41CknUKZi3UeEdMgmmcGYm4",2)</f>
        <v/>
      </c>
      <c r="E298" s="5" t="str">
        <f>IMAGE("https://drive.google.com/uc?export=view&amp;id=1PVchqvMYg41CknUKZi3UeEdMgmmcGYm4",1)</f>
        <v/>
      </c>
      <c r="F298" s="6" t="s">
        <v>1535</v>
      </c>
      <c r="G298" s="6" t="s">
        <v>1536</v>
      </c>
      <c r="H298" s="1" t="s">
        <v>16</v>
      </c>
      <c r="I298" s="7">
        <v>45933.633404305554</v>
      </c>
      <c r="J298" s="7">
        <v>45933.63347075232</v>
      </c>
      <c r="K298" s="1" t="s">
        <v>57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60.0" customHeight="1">
      <c r="A299" s="1" t="s">
        <v>1537</v>
      </c>
      <c r="B299" s="1" t="s">
        <v>1538</v>
      </c>
      <c r="C299" s="2" t="s">
        <v>1539</v>
      </c>
      <c r="D299" s="5" t="str">
        <f>IMAGE("https://drive.google.com/uc?export=view&amp;id=1KYdW_CrvMdv09Bd7TJD36KPgq3h_M1DZ",2)</f>
        <v/>
      </c>
      <c r="E299" s="5" t="str">
        <f>IMAGE("https://drive.google.com/uc?export=view&amp;id=1KYdW_CrvMdv09Bd7TJD36KPgq3h_M1DZ",1)</f>
        <v/>
      </c>
      <c r="F299" s="6" t="s">
        <v>1540</v>
      </c>
      <c r="G299" s="6" t="s">
        <v>1541</v>
      </c>
      <c r="H299" s="1" t="s">
        <v>70</v>
      </c>
      <c r="I299" s="7">
        <v>45888.77791881944</v>
      </c>
      <c r="J299" s="7">
        <v>45888.7580787037</v>
      </c>
      <c r="K299" s="1" t="s">
        <v>71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60.0" customHeight="1">
      <c r="A300" s="1" t="s">
        <v>1542</v>
      </c>
      <c r="B300" s="1" t="s">
        <v>1543</v>
      </c>
      <c r="C300" s="2" t="s">
        <v>1544</v>
      </c>
      <c r="D300" s="5" t="str">
        <f>IMAGE("https://drive.google.com/uc?export=view&amp;id=1_9kHWEg0f9qJYeNcTuRzfy60vgnN9qJJ",2)</f>
        <v/>
      </c>
      <c r="E300" s="5" t="str">
        <f>IMAGE("https://drive.google.com/uc?export=view&amp;id=1_9kHWEg0f9qJYeNcTuRzfy60vgnN9qJJ",1)</f>
        <v/>
      </c>
      <c r="F300" s="6" t="s">
        <v>1545</v>
      </c>
      <c r="G300" s="6" t="s">
        <v>1546</v>
      </c>
      <c r="H300" s="1" t="s">
        <v>128</v>
      </c>
      <c r="I300" s="7">
        <v>45869.578871516205</v>
      </c>
      <c r="J300" s="7">
        <v>45869.57907126157</v>
      </c>
      <c r="K300" s="1" t="s">
        <v>129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60.0" customHeight="1">
      <c r="A301" s="1" t="s">
        <v>1547</v>
      </c>
      <c r="B301" s="1" t="s">
        <v>1548</v>
      </c>
      <c r="C301" s="2" t="s">
        <v>1549</v>
      </c>
      <c r="D301" s="5" t="str">
        <f>IMAGE("https://drive.google.com/uc?export=view&amp;id=1Op0GeSgkEWp1IBl2yXVd3WC__GfPwJy7",2)</f>
        <v/>
      </c>
      <c r="E301" s="5" t="str">
        <f>IMAGE("https://drive.google.com/uc?export=view&amp;id=1Op0GeSgkEWp1IBl2yXVd3WC__GfPwJy7",1)</f>
        <v/>
      </c>
      <c r="F301" s="6" t="s">
        <v>1550</v>
      </c>
      <c r="G301" s="6" t="s">
        <v>1551</v>
      </c>
      <c r="H301" s="1" t="s">
        <v>16</v>
      </c>
      <c r="I301" s="7">
        <v>45890.4590680324</v>
      </c>
      <c r="J301" s="7">
        <v>45890.58411797453</v>
      </c>
      <c r="K301" s="1" t="s">
        <v>17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60.0" customHeight="1">
      <c r="A302" s="1" t="s">
        <v>1552</v>
      </c>
      <c r="B302" s="1" t="s">
        <v>1553</v>
      </c>
      <c r="C302" s="2" t="s">
        <v>1554</v>
      </c>
      <c r="D302" s="5" t="str">
        <f>IMAGE("https://drive.google.com/uc?export=view&amp;id=1BmRwRXbyxjdQFdp16ACoCw5i5iCK3KDD",2)</f>
        <v/>
      </c>
      <c r="E302" s="5" t="str">
        <f>IMAGE("https://drive.google.com/uc?export=view&amp;id=1BmRwRXbyxjdQFdp16ACoCw5i5iCK3KDD",1)</f>
        <v/>
      </c>
      <c r="F302" s="6" t="s">
        <v>1555</v>
      </c>
      <c r="G302" s="6" t="s">
        <v>1556</v>
      </c>
      <c r="H302" s="1" t="s">
        <v>23</v>
      </c>
      <c r="I302" s="7">
        <v>45898.5843365162</v>
      </c>
      <c r="J302" s="7">
        <v>45898.57766203704</v>
      </c>
      <c r="K302" s="1" t="s">
        <v>24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60.0" customHeight="1">
      <c r="A303" s="1" t="s">
        <v>1557</v>
      </c>
      <c r="B303" s="1" t="s">
        <v>1558</v>
      </c>
      <c r="C303" s="2" t="s">
        <v>1559</v>
      </c>
      <c r="D303" s="5" t="str">
        <f>IMAGE("https://drive.google.com/uc?export=view&amp;id=1FY9SVbUFGWGmI7LXTicKA36qSx2XLr5d",2)</f>
        <v/>
      </c>
      <c r="E303" s="5" t="str">
        <f>IMAGE("https://drive.google.com/uc?export=view&amp;id=1FY9SVbUFGWGmI7LXTicKA36qSx2XLr5d",1)</f>
        <v/>
      </c>
      <c r="F303" s="6" t="s">
        <v>1560</v>
      </c>
      <c r="G303" s="6" t="s">
        <v>1561</v>
      </c>
      <c r="H303" s="1" t="s">
        <v>16</v>
      </c>
      <c r="I303" s="7">
        <v>45890.459180694445</v>
      </c>
      <c r="J303" s="7">
        <v>45888.71480324074</v>
      </c>
      <c r="K303" s="1" t="s">
        <v>17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60.0" customHeight="1">
      <c r="A304" s="1" t="s">
        <v>1562</v>
      </c>
      <c r="B304" s="1" t="s">
        <v>1563</v>
      </c>
      <c r="C304" s="2" t="s">
        <v>1564</v>
      </c>
      <c r="D304" s="5" t="str">
        <f>IMAGE("https://drive.google.com/uc?export=view&amp;id=1TLfl0zSHsGAqd2OnNy5MtDI9ISQqkQfZ",2)</f>
        <v/>
      </c>
      <c r="E304" s="5" t="str">
        <f>IMAGE("https://drive.google.com/uc?export=view&amp;id=1TLfl0zSHsGAqd2OnNy5MtDI9ISQqkQfZ",1)</f>
        <v/>
      </c>
      <c r="F304" s="6" t="s">
        <v>1565</v>
      </c>
      <c r="G304" s="6" t="s">
        <v>1566</v>
      </c>
      <c r="H304" s="1" t="s">
        <v>23</v>
      </c>
      <c r="I304" s="7">
        <v>45898.584053611106</v>
      </c>
      <c r="J304" s="7">
        <v>45898.577673611115</v>
      </c>
      <c r="K304" s="1" t="s">
        <v>24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60.0" customHeight="1">
      <c r="A305" s="1" t="s">
        <v>1567</v>
      </c>
      <c r="B305" s="1" t="s">
        <v>1568</v>
      </c>
      <c r="C305" s="2" t="s">
        <v>1569</v>
      </c>
      <c r="D305" s="5" t="str">
        <f>IMAGE("https://drive.google.com/uc?export=view&amp;id=1My94QGCKFu82n5Xr2wFgWygSIDRJbfZ-",2)</f>
        <v/>
      </c>
      <c r="E305" s="5" t="str">
        <f>IMAGE("https://drive.google.com/uc?export=view&amp;id=1My94QGCKFu82n5Xr2wFgWygSIDRJbfZ-",1)</f>
        <v/>
      </c>
      <c r="F305" s="6" t="s">
        <v>1570</v>
      </c>
      <c r="G305" s="6" t="s">
        <v>1571</v>
      </c>
      <c r="H305" s="1" t="s">
        <v>16</v>
      </c>
      <c r="I305" s="7">
        <v>45890.45930310185</v>
      </c>
      <c r="J305" s="7">
        <v>45888.67811342592</v>
      </c>
      <c r="K305" s="1" t="s">
        <v>17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60.0" customHeight="1">
      <c r="A306" s="1" t="s">
        <v>1572</v>
      </c>
      <c r="B306" s="1" t="s">
        <v>1573</v>
      </c>
      <c r="C306" s="2" t="s">
        <v>1574</v>
      </c>
      <c r="D306" s="5" t="str">
        <f>IMAGE("https://drive.google.com/uc?export=view&amp;id=1Xi6a_fqvrvDqOtuq6Pjb-6KnLeZVA9F5",2)</f>
        <v/>
      </c>
      <c r="E306" s="5" t="str">
        <f>IMAGE("https://drive.google.com/uc?export=view&amp;id=1Xi6a_fqvrvDqOtuq6Pjb-6KnLeZVA9F5",1)</f>
        <v/>
      </c>
      <c r="F306" s="6" t="s">
        <v>1575</v>
      </c>
      <c r="G306" s="6" t="s">
        <v>1576</v>
      </c>
      <c r="H306" s="1" t="s">
        <v>23</v>
      </c>
      <c r="I306" s="7">
        <v>45898.58423835648</v>
      </c>
      <c r="J306" s="7">
        <v>45898.577673611115</v>
      </c>
      <c r="K306" s="1" t="s">
        <v>24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60.0" customHeight="1">
      <c r="A307" s="1" t="s">
        <v>1577</v>
      </c>
      <c r="B307" s="1" t="s">
        <v>1578</v>
      </c>
      <c r="C307" s="2" t="s">
        <v>1579</v>
      </c>
      <c r="D307" s="5" t="str">
        <f>IMAGE("https://drive.google.com/uc?export=view&amp;id=1gsCR93M4y67MQxIGtyOTSLSVcyY9cK-Y",2)</f>
        <v/>
      </c>
      <c r="E307" s="5" t="str">
        <f>IMAGE("https://drive.google.com/uc?export=view&amp;id=1gsCR93M4y67MQxIGtyOTSLSVcyY9cK-Y",1)</f>
        <v/>
      </c>
      <c r="F307" s="6" t="s">
        <v>1580</v>
      </c>
      <c r="G307" s="6" t="s">
        <v>1581</v>
      </c>
      <c r="H307" s="1" t="s">
        <v>16</v>
      </c>
      <c r="I307" s="7">
        <v>45890.45942922454</v>
      </c>
      <c r="J307" s="7">
        <v>45888.70822916667</v>
      </c>
      <c r="K307" s="1" t="s">
        <v>17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60.0" customHeight="1">
      <c r="A308" s="1" t="s">
        <v>1582</v>
      </c>
      <c r="B308" s="1" t="s">
        <v>1583</v>
      </c>
      <c r="C308" s="2" t="s">
        <v>1584</v>
      </c>
      <c r="D308" s="5" t="str">
        <f>IMAGE("https://drive.google.com/uc?export=view&amp;id=16UdKB-O5YsHovIYPoHxmVrqekaAcm3Ic",2)</f>
        <v/>
      </c>
      <c r="E308" s="5" t="str">
        <f>IMAGE("https://drive.google.com/uc?export=view&amp;id=16UdKB-O5YsHovIYPoHxmVrqekaAcm3Ic",1)</f>
        <v/>
      </c>
      <c r="F308" s="6" t="s">
        <v>1585</v>
      </c>
      <c r="G308" s="6" t="s">
        <v>1586</v>
      </c>
      <c r="H308" s="1" t="s">
        <v>23</v>
      </c>
      <c r="I308" s="7">
        <v>45898.584053611106</v>
      </c>
      <c r="J308" s="7">
        <v>45898.577673611115</v>
      </c>
      <c r="K308" s="1" t="s">
        <v>24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60.0" customHeight="1">
      <c r="A309" s="1" t="s">
        <v>1587</v>
      </c>
      <c r="B309" s="1" t="s">
        <v>1588</v>
      </c>
      <c r="C309" s="2" t="s">
        <v>1589</v>
      </c>
      <c r="D309" s="5" t="str">
        <f>IMAGE("https://drive.google.com/uc?export=view&amp;id=1QICv_RgN90ctklZ2MF1EJgIDepxnG8q9",2)</f>
        <v/>
      </c>
      <c r="E309" s="5" t="str">
        <f>IMAGE("https://drive.google.com/uc?export=view&amp;id=1QICv_RgN90ctklZ2MF1EJgIDepxnG8q9",1)</f>
        <v/>
      </c>
      <c r="F309" s="6" t="s">
        <v>1590</v>
      </c>
      <c r="G309" s="6" t="s">
        <v>1591</v>
      </c>
      <c r="H309" s="1" t="s">
        <v>16</v>
      </c>
      <c r="I309" s="7">
        <v>45933.628516261575</v>
      </c>
      <c r="J309" s="7">
        <v>45933.62858640046</v>
      </c>
      <c r="K309" s="1" t="s">
        <v>57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60.0" customHeight="1">
      <c r="A310" s="1" t="s">
        <v>1592</v>
      </c>
      <c r="B310" s="1" t="s">
        <v>1593</v>
      </c>
      <c r="C310" s="2" t="s">
        <v>1594</v>
      </c>
      <c r="D310" s="5" t="str">
        <f>IMAGE("https://drive.google.com/uc?export=view&amp;id=1ctRCzlT1yksYR4d3I7xwWh1HCAlQA__Y",2)</f>
        <v/>
      </c>
      <c r="E310" s="5" t="str">
        <f>IMAGE("https://drive.google.com/uc?export=view&amp;id=1ctRCzlT1yksYR4d3I7xwWh1HCAlQA__Y",1)</f>
        <v/>
      </c>
      <c r="F310" s="6" t="s">
        <v>1595</v>
      </c>
      <c r="G310" s="6" t="s">
        <v>1596</v>
      </c>
      <c r="H310" s="1" t="s">
        <v>128</v>
      </c>
      <c r="I310" s="7">
        <v>46017.510926365736</v>
      </c>
      <c r="J310" s="7">
        <v>46011.76186342593</v>
      </c>
      <c r="K310" s="1" t="s">
        <v>129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60.0" customHeight="1">
      <c r="A311" s="1" t="s">
        <v>1597</v>
      </c>
      <c r="B311" s="1" t="s">
        <v>1598</v>
      </c>
      <c r="C311" s="2" t="s">
        <v>1599</v>
      </c>
      <c r="D311" s="5" t="str">
        <f>IMAGE("https://drive.google.com/uc?export=view&amp;id=1ABuTuePnFkxqTqjFhHv5-U5b58RuUDsC",2)</f>
        <v/>
      </c>
      <c r="E311" s="5" t="str">
        <f>IMAGE("https://drive.google.com/uc?export=view&amp;id=1ABuTuePnFkxqTqjFhHv5-U5b58RuUDsC",1)</f>
        <v/>
      </c>
      <c r="F311" s="6" t="s">
        <v>1600</v>
      </c>
      <c r="G311" s="6" t="s">
        <v>1601</v>
      </c>
      <c r="H311" s="1" t="s">
        <v>16</v>
      </c>
      <c r="I311" s="7">
        <v>45890.45960797454</v>
      </c>
      <c r="J311" s="7">
        <v>45890.58419349537</v>
      </c>
      <c r="K311" s="1" t="s">
        <v>17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60.0" customHeight="1">
      <c r="A312" s="1" t="s">
        <v>1602</v>
      </c>
      <c r="B312" s="1" t="s">
        <v>1603</v>
      </c>
      <c r="C312" s="2" t="s">
        <v>1604</v>
      </c>
      <c r="D312" s="5" t="str">
        <f>IMAGE("https://drive.google.com/uc?export=view&amp;id=13sB-aSPZaj1opZbQuXPwzuei7FQlkzEI",2)</f>
        <v/>
      </c>
      <c r="E312" s="5" t="str">
        <f>IMAGE("https://drive.google.com/uc?export=view&amp;id=13sB-aSPZaj1opZbQuXPwzuei7FQlkzEI",1)</f>
        <v/>
      </c>
      <c r="F312" s="6" t="s">
        <v>1605</v>
      </c>
      <c r="G312" s="6" t="s">
        <v>1606</v>
      </c>
      <c r="H312" s="1" t="s">
        <v>23</v>
      </c>
      <c r="I312" s="7">
        <v>45898.584045509255</v>
      </c>
      <c r="J312" s="7">
        <v>45898.577673611115</v>
      </c>
      <c r="K312" s="1" t="s">
        <v>24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60.0" customHeight="1">
      <c r="A313" s="1" t="s">
        <v>1607</v>
      </c>
      <c r="B313" s="1" t="s">
        <v>1608</v>
      </c>
      <c r="C313" s="2" t="s">
        <v>1609</v>
      </c>
      <c r="D313" s="5" t="str">
        <f>IMAGE("https://drive.google.com/uc?export=view&amp;id=1qCvJe-yawOft6hrAanTMOaPDGS1FeCt7",2)</f>
        <v/>
      </c>
      <c r="E313" s="5" t="str">
        <f>IMAGE("https://drive.google.com/uc?export=view&amp;id=1qCvJe-yawOft6hrAanTMOaPDGS1FeCt7",1)</f>
        <v/>
      </c>
      <c r="F313" s="6" t="s">
        <v>1610</v>
      </c>
      <c r="G313" s="6" t="s">
        <v>1611</v>
      </c>
      <c r="H313" s="1" t="s">
        <v>16</v>
      </c>
      <c r="I313" s="7">
        <v>45878.4493946875</v>
      </c>
      <c r="J313" s="7">
        <v>45890.475595578704</v>
      </c>
      <c r="K313" s="1" t="s">
        <v>17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60.0" customHeight="1">
      <c r="A314" s="1" t="s">
        <v>1612</v>
      </c>
      <c r="B314" s="1" t="s">
        <v>1613</v>
      </c>
      <c r="C314" s="2" t="s">
        <v>1614</v>
      </c>
      <c r="D314" s="5" t="str">
        <f>IMAGE("https://drive.google.com/uc?export=view&amp;id=1JLxVBC3pGuw9xkkep_LDs07BAzZGnT95",2)</f>
        <v/>
      </c>
      <c r="E314" s="5" t="str">
        <f>IMAGE("https://drive.google.com/uc?export=view&amp;id=1JLxVBC3pGuw9xkkep_LDs07BAzZGnT95",1)</f>
        <v/>
      </c>
      <c r="F314" s="6" t="s">
        <v>1615</v>
      </c>
      <c r="G314" s="6" t="s">
        <v>1616</v>
      </c>
      <c r="H314" s="1" t="s">
        <v>23</v>
      </c>
      <c r="I314" s="7">
        <v>45898.58435462963</v>
      </c>
      <c r="J314" s="7">
        <v>45898.577673611115</v>
      </c>
      <c r="K314" s="1" t="s">
        <v>24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60.0" customHeight="1">
      <c r="A315" s="1" t="s">
        <v>1617</v>
      </c>
      <c r="B315" s="1" t="s">
        <v>1618</v>
      </c>
      <c r="C315" s="2" t="s">
        <v>1619</v>
      </c>
      <c r="D315" s="5" t="str">
        <f>IMAGE("https://drive.google.com/uc?export=view&amp;id=1JvqDTPttxuu-XqahkI9ioHCYq_YaCy_e",2)</f>
        <v/>
      </c>
      <c r="E315" s="5" t="str">
        <f>IMAGE("https://drive.google.com/uc?export=view&amp;id=1JvqDTPttxuu-XqahkI9ioHCYq_YaCy_e",1)</f>
        <v/>
      </c>
      <c r="F315" s="6" t="s">
        <v>1620</v>
      </c>
      <c r="G315" s="6" t="s">
        <v>1621</v>
      </c>
      <c r="H315" s="1" t="s">
        <v>128</v>
      </c>
      <c r="I315" s="7">
        <v>45933.45207758102</v>
      </c>
      <c r="J315" s="7">
        <v>45933.45381603009</v>
      </c>
      <c r="K315" s="1" t="s">
        <v>129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60.0" customHeight="1">
      <c r="A316" s="1" t="s">
        <v>1622</v>
      </c>
      <c r="B316" s="1" t="s">
        <v>1623</v>
      </c>
      <c r="C316" s="2" t="s">
        <v>1624</v>
      </c>
      <c r="D316" s="5" t="str">
        <f>IMAGE("https://drive.google.com/uc?export=view&amp;id=1b1scoCwqwlzqjsWaQkMEAFSz0f51Y8dk",2)</f>
        <v/>
      </c>
      <c r="E316" s="5" t="str">
        <f>IMAGE("https://drive.google.com/uc?export=view&amp;id=1b1scoCwqwlzqjsWaQkMEAFSz0f51Y8dk",1)</f>
        <v/>
      </c>
      <c r="F316" s="6" t="s">
        <v>1625</v>
      </c>
      <c r="G316" s="6" t="s">
        <v>1626</v>
      </c>
      <c r="H316" s="1" t="s">
        <v>70</v>
      </c>
      <c r="I316" s="7">
        <v>45889.645867037034</v>
      </c>
      <c r="J316" s="7">
        <v>45889.64600900463</v>
      </c>
      <c r="K316" s="1" t="s">
        <v>71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60.0" customHeight="1">
      <c r="A317" s="1" t="s">
        <v>1627</v>
      </c>
      <c r="B317" s="1" t="s">
        <v>1628</v>
      </c>
      <c r="C317" s="2" t="s">
        <v>1629</v>
      </c>
      <c r="D317" s="5" t="str">
        <f>IMAGE("https://drive.google.com/uc?export=view&amp;id=1dcbU3CSFKGah0lr3LriFY8DCHjCN7Gd3",2)</f>
        <v/>
      </c>
      <c r="E317" s="5" t="str">
        <f>IMAGE("https://drive.google.com/uc?export=view&amp;id=1dcbU3CSFKGah0lr3LriFY8DCHjCN7Gd3",1)</f>
        <v/>
      </c>
      <c r="F317" s="6" t="s">
        <v>1630</v>
      </c>
      <c r="G317" s="6" t="s">
        <v>1631</v>
      </c>
      <c r="H317" s="1" t="s">
        <v>30</v>
      </c>
      <c r="I317" s="7">
        <v>45897.45387946759</v>
      </c>
      <c r="J317" s="7">
        <v>45913.54957552083</v>
      </c>
      <c r="K317" s="1" t="s">
        <v>31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60.0" customHeight="1">
      <c r="A318" s="1" t="s">
        <v>1632</v>
      </c>
      <c r="B318" s="1" t="s">
        <v>1633</v>
      </c>
      <c r="C318" s="2" t="s">
        <v>1634</v>
      </c>
      <c r="D318" s="5" t="str">
        <f>IMAGE("https://drive.google.com/uc?export=view&amp;id=1vl6YSR2F3Xchvrfcs0mzFbbl7pkGqI_3",2)</f>
        <v/>
      </c>
      <c r="E318" s="5" t="str">
        <f>IMAGE("https://drive.google.com/uc?export=view&amp;id=1vl6YSR2F3Xchvrfcs0mzFbbl7pkGqI_3",1)</f>
        <v/>
      </c>
      <c r="F318" s="6" t="s">
        <v>1635</v>
      </c>
      <c r="G318" s="6" t="s">
        <v>1636</v>
      </c>
      <c r="H318" s="1" t="s">
        <v>128</v>
      </c>
      <c r="I318" s="7">
        <v>45932.58610835648</v>
      </c>
      <c r="J318" s="7">
        <v>45932.58621288194</v>
      </c>
      <c r="K318" s="1" t="s">
        <v>129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60.0" customHeight="1">
      <c r="A319" s="1" t="s">
        <v>1637</v>
      </c>
      <c r="B319" s="1" t="s">
        <v>1638</v>
      </c>
      <c r="C319" s="2" t="s">
        <v>1639</v>
      </c>
      <c r="D319" s="5" t="str">
        <f>IMAGE("https://drive.google.com/uc?export=view&amp;id=1pU7sp9L9-AGVDp4wFiFrLnvacjUIJj_f",2)</f>
        <v/>
      </c>
      <c r="E319" s="5" t="str">
        <f>IMAGE("https://drive.google.com/uc?export=view&amp;id=1pU7sp9L9-AGVDp4wFiFrLnvacjUIJj_f",1)</f>
        <v/>
      </c>
      <c r="F319" s="6" t="s">
        <v>1640</v>
      </c>
      <c r="G319" s="6" t="s">
        <v>1641</v>
      </c>
      <c r="H319" s="1" t="s">
        <v>128</v>
      </c>
      <c r="I319" s="7">
        <v>45792.39968777778</v>
      </c>
      <c r="J319" s="7">
        <v>45860.70216555556</v>
      </c>
      <c r="K319" s="1" t="s">
        <v>129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60.0" customHeight="1">
      <c r="A320" s="1" t="s">
        <v>1642</v>
      </c>
      <c r="B320" s="1" t="s">
        <v>1643</v>
      </c>
      <c r="C320" s="2" t="s">
        <v>1644</v>
      </c>
      <c r="D320" s="5" t="str">
        <f>IMAGE("https://drive.google.com/uc?export=view&amp;id=1x8UBJLHzPYBptwDNZnFilWbLG8Zr9cdl",2)</f>
        <v/>
      </c>
      <c r="E320" s="5" t="str">
        <f>IMAGE("https://drive.google.com/uc?export=view&amp;id=1x8UBJLHzPYBptwDNZnFilWbLG8Zr9cdl",1)</f>
        <v/>
      </c>
      <c r="F320" s="6" t="s">
        <v>1645</v>
      </c>
      <c r="G320" s="6" t="s">
        <v>1646</v>
      </c>
      <c r="H320" s="1" t="s">
        <v>30</v>
      </c>
      <c r="I320" s="7">
        <v>45897.45402679398</v>
      </c>
      <c r="J320" s="7">
        <v>45913.549769571764</v>
      </c>
      <c r="K320" s="1" t="s">
        <v>31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60.0" customHeight="1">
      <c r="A321" s="1" t="s">
        <v>1647</v>
      </c>
      <c r="B321" s="1" t="s">
        <v>1648</v>
      </c>
      <c r="C321" s="2" t="s">
        <v>1649</v>
      </c>
      <c r="D321" s="5" t="str">
        <f>IMAGE("https://drive.google.com/uc?export=view&amp;id=10GvJq-OG1CwL1dHSSEIUVShhX_U2_5sg",2)</f>
        <v/>
      </c>
      <c r="E321" s="5" t="str">
        <f>IMAGE("https://drive.google.com/uc?export=view&amp;id=10GvJq-OG1CwL1dHSSEIUVShhX_U2_5sg",1)</f>
        <v/>
      </c>
      <c r="F321" s="6" t="s">
        <v>1650</v>
      </c>
      <c r="G321" s="6" t="s">
        <v>1651</v>
      </c>
      <c r="H321" s="1" t="s">
        <v>30</v>
      </c>
      <c r="I321" s="7">
        <v>45913.543989363425</v>
      </c>
      <c r="J321" s="7">
        <v>45901.40515046296</v>
      </c>
      <c r="K321" s="1" t="s">
        <v>31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60.0" customHeight="1">
      <c r="A322" s="1" t="s">
        <v>1652</v>
      </c>
      <c r="B322" s="1" t="s">
        <v>1653</v>
      </c>
      <c r="C322" s="2" t="s">
        <v>1654</v>
      </c>
      <c r="D322" s="5" t="str">
        <f>IMAGE("https://drive.google.com/uc?export=view&amp;id=16PZBm1mOZGrVlAqd6HSxVgSx4kgkHZj3",2)</f>
        <v/>
      </c>
      <c r="E322" s="5" t="str">
        <f>IMAGE("https://drive.google.com/uc?export=view&amp;id=16PZBm1mOZGrVlAqd6HSxVgSx4kgkHZj3",1)</f>
        <v/>
      </c>
      <c r="F322" s="6" t="s">
        <v>1655</v>
      </c>
      <c r="G322" s="6" t="s">
        <v>1656</v>
      </c>
      <c r="H322" s="1" t="s">
        <v>63</v>
      </c>
      <c r="I322" s="7">
        <v>45828.54276689814</v>
      </c>
      <c r="J322" s="7">
        <v>45860.69134959491</v>
      </c>
      <c r="K322" s="1" t="s">
        <v>64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60.0" customHeight="1">
      <c r="A323" s="1" t="s">
        <v>1657</v>
      </c>
      <c r="B323" s="1" t="s">
        <v>1658</v>
      </c>
      <c r="C323" s="2" t="s">
        <v>1659</v>
      </c>
      <c r="D323" s="5" t="str">
        <f>IMAGE("https://drive.google.com/uc?export=view&amp;id=1L504IVZeSHJ3oht3phYJlt7vTloc0cYr",2)</f>
        <v/>
      </c>
      <c r="E323" s="5" t="str">
        <f>IMAGE("https://drive.google.com/uc?export=view&amp;id=1L504IVZeSHJ3oht3phYJlt7vTloc0cYr",1)</f>
        <v/>
      </c>
      <c r="F323" s="6" t="s">
        <v>1660</v>
      </c>
      <c r="G323" s="6" t="s">
        <v>1661</v>
      </c>
      <c r="H323" s="1" t="s">
        <v>135</v>
      </c>
      <c r="I323" s="7">
        <v>46060.645031319444</v>
      </c>
      <c r="J323" s="7">
        <v>46060.637974537036</v>
      </c>
      <c r="K323" s="1" t="s">
        <v>136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60.0" customHeight="1">
      <c r="A324" s="1" t="s">
        <v>1662</v>
      </c>
      <c r="B324" s="1" t="s">
        <v>1663</v>
      </c>
      <c r="C324" s="2" t="s">
        <v>1664</v>
      </c>
      <c r="D324" s="5" t="str">
        <f>IMAGE("https://drive.google.com/uc?export=view&amp;id=12-Q2ofpS0A_lnOeVc-YakL-ikKlGxhTq",2)</f>
        <v/>
      </c>
      <c r="E324" s="5" t="str">
        <f>IMAGE("https://drive.google.com/uc?export=view&amp;id=12-Q2ofpS0A_lnOeVc-YakL-ikKlGxhTq",1)</f>
        <v/>
      </c>
      <c r="F324" s="6" t="s">
        <v>1665</v>
      </c>
      <c r="G324" s="6" t="s">
        <v>1666</v>
      </c>
      <c r="H324" s="1" t="s">
        <v>135</v>
      </c>
      <c r="I324" s="7">
        <v>46059.94627956019</v>
      </c>
      <c r="J324" s="7">
        <v>46059.97897600694</v>
      </c>
      <c r="K324" s="1" t="s">
        <v>136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60.0" customHeight="1">
      <c r="A325" s="1" t="s">
        <v>1667</v>
      </c>
      <c r="B325" s="1" t="s">
        <v>1668</v>
      </c>
      <c r="C325" s="2" t="s">
        <v>1669</v>
      </c>
      <c r="D325" s="5" t="str">
        <f>IMAGE("https://drive.google.com/uc?export=view&amp;id=1wi9NU8jCVZeXiq34-9mtm0p2h506lZAY",2)</f>
        <v/>
      </c>
      <c r="E325" s="5" t="str">
        <f>IMAGE("https://drive.google.com/uc?export=view&amp;id=1wi9NU8jCVZeXiq34-9mtm0p2h506lZAY",1)</f>
        <v/>
      </c>
      <c r="F325" s="6" t="s">
        <v>1670</v>
      </c>
      <c r="G325" s="6" t="s">
        <v>1671</v>
      </c>
      <c r="H325" s="1" t="s">
        <v>30</v>
      </c>
      <c r="I325" s="7">
        <v>45897.45786363426</v>
      </c>
      <c r="J325" s="7">
        <v>45913.55422752315</v>
      </c>
      <c r="K325" s="1" t="s">
        <v>31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60.0" customHeight="1">
      <c r="A326" s="1" t="s">
        <v>1672</v>
      </c>
      <c r="B326" s="1" t="s">
        <v>1673</v>
      </c>
      <c r="C326" s="2" t="s">
        <v>1674</v>
      </c>
      <c r="D326" s="5" t="str">
        <f>IMAGE("https://drive.google.com/uc?export=view&amp;id=11IejIAgsM2OTax1PGBrQleilIs-3tqML",2)</f>
        <v/>
      </c>
      <c r="E326" s="5" t="str">
        <f>IMAGE("https://drive.google.com/uc?export=view&amp;id=11IejIAgsM2OTax1PGBrQleilIs-3tqML",1)</f>
        <v/>
      </c>
      <c r="F326" s="6" t="s">
        <v>1675</v>
      </c>
      <c r="G326" s="6" t="s">
        <v>1676</v>
      </c>
      <c r="H326" s="1" t="s">
        <v>304</v>
      </c>
      <c r="I326" s="7">
        <v>45860.69586273148</v>
      </c>
      <c r="J326" s="7">
        <v>45924.57196693287</v>
      </c>
      <c r="K326" s="1" t="s">
        <v>305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60.0" customHeight="1">
      <c r="A327" s="1" t="s">
        <v>1677</v>
      </c>
      <c r="B327" s="1" t="s">
        <v>1678</v>
      </c>
      <c r="C327" s="2" t="s">
        <v>1679</v>
      </c>
      <c r="D327" s="5" t="str">
        <f>IMAGE("https://drive.google.com/uc?export=view&amp;id=1Rg0iap8i02C7mtvWv8QqsyttKkFbHvfh",2)</f>
        <v/>
      </c>
      <c r="E327" s="5" t="str">
        <f>IMAGE("https://drive.google.com/uc?export=view&amp;id=1Rg0iap8i02C7mtvWv8QqsyttKkFbHvfh",1)</f>
        <v/>
      </c>
      <c r="F327" s="6" t="s">
        <v>1680</v>
      </c>
      <c r="G327" s="6" t="s">
        <v>1681</v>
      </c>
      <c r="H327" s="1" t="s">
        <v>1682</v>
      </c>
      <c r="I327" s="7">
        <v>45933.64790336805</v>
      </c>
      <c r="J327" s="7">
        <v>45996.428732361106</v>
      </c>
      <c r="K327" s="1" t="s">
        <v>1683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60.0" customHeight="1">
      <c r="A328" s="1" t="s">
        <v>1684</v>
      </c>
      <c r="B328" s="1" t="s">
        <v>1685</v>
      </c>
      <c r="C328" s="2" t="s">
        <v>1686</v>
      </c>
      <c r="D328" s="5" t="str">
        <f>IMAGE("https://drive.google.com/uc?export=view&amp;id=1LcmC2hdw-BoNlSbEo1cOROVeF3lGgs7X",2)</f>
        <v/>
      </c>
      <c r="E328" s="5" t="str">
        <f>IMAGE("https://drive.google.com/uc?export=view&amp;id=1LcmC2hdw-BoNlSbEo1cOROVeF3lGgs7X",1)</f>
        <v/>
      </c>
      <c r="F328" s="6" t="s">
        <v>1687</v>
      </c>
      <c r="G328" s="6" t="s">
        <v>1688</v>
      </c>
      <c r="H328" s="1" t="s">
        <v>272</v>
      </c>
      <c r="I328" s="7">
        <v>46078.46194040509</v>
      </c>
      <c r="J328" s="7">
        <v>46077.40290509259</v>
      </c>
      <c r="K328" s="1" t="s">
        <v>273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60.0" customHeight="1">
      <c r="A329" s="1" t="s">
        <v>1689</v>
      </c>
      <c r="B329" s="1" t="s">
        <v>1690</v>
      </c>
      <c r="C329" s="2" t="s">
        <v>1691</v>
      </c>
      <c r="D329" s="5" t="str">
        <f>IMAGE("https://drive.google.com/uc?export=view&amp;id=1xXLWT_G4vY71QZfhvXlCtPfqCQ3PIzwF",2)</f>
        <v/>
      </c>
      <c r="E329" s="5" t="str">
        <f>IMAGE("https://drive.google.com/uc?export=view&amp;id=1xXLWT_G4vY71QZfhvXlCtPfqCQ3PIzwF",1)</f>
        <v/>
      </c>
      <c r="F329" s="6" t="s">
        <v>1692</v>
      </c>
      <c r="G329" s="6" t="s">
        <v>1693</v>
      </c>
      <c r="H329" s="1" t="s">
        <v>272</v>
      </c>
      <c r="I329" s="7">
        <v>46078.46157831018</v>
      </c>
      <c r="J329" s="7">
        <v>46074.730625</v>
      </c>
      <c r="K329" s="1" t="s">
        <v>273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60.0" customHeight="1">
      <c r="A330" s="1" t="s">
        <v>1694</v>
      </c>
      <c r="B330" s="1" t="s">
        <v>1695</v>
      </c>
      <c r="C330" s="2" t="s">
        <v>1696</v>
      </c>
      <c r="D330" s="5" t="str">
        <f>IMAGE("https://drive.google.com/uc?export=view&amp;id=1YJJfUA2sTBg5iPDbj-W0L2Iuzjjvdmyv",2)</f>
        <v/>
      </c>
      <c r="E330" s="5" t="str">
        <f>IMAGE("https://drive.google.com/uc?export=view&amp;id=1YJJfUA2sTBg5iPDbj-W0L2Iuzjjvdmyv",1)</f>
        <v/>
      </c>
      <c r="F330" s="6" t="s">
        <v>1697</v>
      </c>
      <c r="G330" s="6" t="s">
        <v>1698</v>
      </c>
      <c r="H330" s="1" t="s">
        <v>272</v>
      </c>
      <c r="I330" s="7">
        <v>46078.4617441088</v>
      </c>
      <c r="J330" s="7">
        <v>46074.94731481481</v>
      </c>
      <c r="K330" s="1" t="s">
        <v>273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60.0" customHeight="1">
      <c r="A331" s="1" t="s">
        <v>1699</v>
      </c>
      <c r="B331" s="1" t="s">
        <v>1700</v>
      </c>
      <c r="C331" s="2" t="s">
        <v>1701</v>
      </c>
      <c r="D331" s="5" t="str">
        <f>IMAGE("https://drive.google.com/uc?export=view&amp;id=1FJ-epfRW1VgI7KcRcvTr5InVpsSbgvpw",2)</f>
        <v/>
      </c>
      <c r="E331" s="5" t="str">
        <f>IMAGE("https://drive.google.com/uc?export=view&amp;id=1FJ-epfRW1VgI7KcRcvTr5InVpsSbgvpw",1)</f>
        <v/>
      </c>
      <c r="F331" s="6" t="s">
        <v>1702</v>
      </c>
      <c r="G331" s="6" t="s">
        <v>1703</v>
      </c>
      <c r="H331" s="1" t="s">
        <v>30</v>
      </c>
      <c r="I331" s="7">
        <v>45913.544361319444</v>
      </c>
      <c r="J331" s="7">
        <v>45902.58416666667</v>
      </c>
      <c r="K331" s="1" t="s">
        <v>31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60.0" customHeight="1">
      <c r="A332" s="1" t="s">
        <v>1704</v>
      </c>
      <c r="B332" s="1" t="s">
        <v>1705</v>
      </c>
      <c r="C332" s="2" t="s">
        <v>1706</v>
      </c>
      <c r="D332" s="5" t="str">
        <f>IMAGE("https://drive.google.com/uc?export=view&amp;id=1GAHHs4Af4YiXssYXWMFTRBBgwkDBiM8Z",2)</f>
        <v/>
      </c>
      <c r="E332" s="5" t="str">
        <f>IMAGE("https://drive.google.com/uc?export=view&amp;id=1GAHHs4Af4YiXssYXWMFTRBBgwkDBiM8Z",1)</f>
        <v/>
      </c>
      <c r="F332" s="6" t="s">
        <v>1707</v>
      </c>
      <c r="G332" s="6" t="s">
        <v>1708</v>
      </c>
      <c r="H332" s="1" t="s">
        <v>30</v>
      </c>
      <c r="I332" s="7">
        <v>45897.45418114583</v>
      </c>
      <c r="J332" s="7">
        <v>45913.55044502315</v>
      </c>
      <c r="K332" s="1" t="s">
        <v>31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60.0" customHeight="1">
      <c r="A333" s="1" t="s">
        <v>1709</v>
      </c>
      <c r="B333" s="1" t="s">
        <v>1710</v>
      </c>
      <c r="C333" s="2" t="s">
        <v>1711</v>
      </c>
      <c r="D333" s="5" t="str">
        <f>IMAGE("https://drive.google.com/uc?export=view&amp;id=16TU-djcWeUVUhYzJdO0Z-WGPnyRgLsof",2)</f>
        <v/>
      </c>
      <c r="E333" s="5" t="str">
        <f>IMAGE("https://drive.google.com/uc?export=view&amp;id=16TU-djcWeUVUhYzJdO0Z-WGPnyRgLsof",1)</f>
        <v/>
      </c>
      <c r="F333" s="6" t="s">
        <v>1712</v>
      </c>
      <c r="G333" s="6" t="s">
        <v>1713</v>
      </c>
      <c r="H333" s="1" t="s">
        <v>128</v>
      </c>
      <c r="I333" s="7">
        <v>46017.5110774537</v>
      </c>
      <c r="J333" s="7">
        <v>46011.74092592593</v>
      </c>
      <c r="K333" s="1" t="s">
        <v>129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60.0" customHeight="1">
      <c r="A334" s="1" t="s">
        <v>1714</v>
      </c>
      <c r="B334" s="1" t="s">
        <v>1715</v>
      </c>
      <c r="C334" s="2" t="s">
        <v>1716</v>
      </c>
      <c r="D334" s="5" t="str">
        <f>IMAGE("https://drive.google.com/uc?export=view&amp;id=1CrYMCxhEn3KG6PrpzLwaUY36x0qE2SgD",2)</f>
        <v/>
      </c>
      <c r="E334" s="5" t="str">
        <f>IMAGE("https://drive.google.com/uc?export=view&amp;id=1CrYMCxhEn3KG6PrpzLwaUY36x0qE2SgD",1)</f>
        <v/>
      </c>
      <c r="F334" s="6" t="s">
        <v>1717</v>
      </c>
      <c r="G334" s="6" t="s">
        <v>1718</v>
      </c>
      <c r="H334" s="1" t="s">
        <v>128</v>
      </c>
      <c r="I334" s="7">
        <v>46017.49552950231</v>
      </c>
      <c r="J334" s="7">
        <v>46012.05642361111</v>
      </c>
      <c r="K334" s="1" t="s">
        <v>129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60.0" customHeight="1">
      <c r="A335" s="1" t="s">
        <v>1719</v>
      </c>
      <c r="B335" s="1" t="s">
        <v>1720</v>
      </c>
      <c r="C335" s="2" t="s">
        <v>1721</v>
      </c>
      <c r="D335" s="5" t="str">
        <f>IMAGE("https://drive.google.com/uc?export=view&amp;id=1IAESLMh30pDvUoYUVrzAqdekocbi2fn_",2)</f>
        <v/>
      </c>
      <c r="E335" s="5" t="str">
        <f>IMAGE("https://drive.google.com/uc?export=view&amp;id=1IAESLMh30pDvUoYUVrzAqdekocbi2fn_",1)</f>
        <v/>
      </c>
      <c r="F335" s="6" t="s">
        <v>1722</v>
      </c>
      <c r="G335" s="6" t="s">
        <v>1723</v>
      </c>
      <c r="H335" s="1" t="s">
        <v>1682</v>
      </c>
      <c r="I335" s="7">
        <v>45933.64503208333</v>
      </c>
      <c r="J335" s="7">
        <v>46071.42104053241</v>
      </c>
      <c r="K335" s="1" t="s">
        <v>1683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60.0" customHeight="1">
      <c r="A336" s="1" t="s">
        <v>1724</v>
      </c>
      <c r="B336" s="1" t="s">
        <v>1725</v>
      </c>
      <c r="C336" s="2" t="s">
        <v>1726</v>
      </c>
      <c r="D336" s="5" t="str">
        <f>IMAGE("https://drive.google.com/uc?export=view&amp;id=13KO_ulO_xASKRsGhnDXleYu26LyKXeyY",2)</f>
        <v/>
      </c>
      <c r="E336" s="5" t="str">
        <f>IMAGE("https://drive.google.com/uc?export=view&amp;id=13KO_ulO_xASKRsGhnDXleYu26LyKXeyY",1)</f>
        <v/>
      </c>
      <c r="F336" s="6" t="s">
        <v>1727</v>
      </c>
      <c r="G336" s="6" t="s">
        <v>1728</v>
      </c>
      <c r="H336" s="1" t="s">
        <v>1682</v>
      </c>
      <c r="I336" s="7">
        <v>46042.771593831014</v>
      </c>
      <c r="J336" s="7">
        <v>46042.859372743056</v>
      </c>
      <c r="K336" s="1" t="s">
        <v>1683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60.0" customHeight="1">
      <c r="A337" s="1" t="s">
        <v>1729</v>
      </c>
      <c r="B337" s="1" t="s">
        <v>1730</v>
      </c>
      <c r="C337" s="2" t="s">
        <v>1731</v>
      </c>
      <c r="D337" s="5" t="str">
        <f>IMAGE("https://drive.google.com/uc?export=view&amp;id=1egqDPjqGQ8I2XNfddbYVJXZUhGd6wTaw",2)</f>
        <v/>
      </c>
      <c r="E337" s="5" t="str">
        <f>IMAGE("https://drive.google.com/uc?export=view&amp;id=1egqDPjqGQ8I2XNfddbYVJXZUhGd6wTaw",1)</f>
        <v/>
      </c>
      <c r="F337" s="6" t="s">
        <v>1732</v>
      </c>
      <c r="G337" s="6" t="s">
        <v>1733</v>
      </c>
      <c r="H337" s="1" t="s">
        <v>1682</v>
      </c>
      <c r="I337" s="7">
        <v>45933.64144556713</v>
      </c>
      <c r="J337" s="7">
        <v>46042.85932292824</v>
      </c>
      <c r="K337" s="1" t="s">
        <v>1683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60.0" customHeight="1">
      <c r="A338" s="1" t="s">
        <v>1734</v>
      </c>
      <c r="B338" s="1" t="s">
        <v>1735</v>
      </c>
      <c r="C338" s="2" t="s">
        <v>1736</v>
      </c>
      <c r="D338" s="5" t="str">
        <f>IMAGE("https://drive.google.com/uc?export=view&amp;id=1uKpJjAMX_WKjc3YRqVsh8ZDhrZ3leF4T",2)</f>
        <v/>
      </c>
      <c r="E338" s="5" t="str">
        <f>IMAGE("https://drive.google.com/uc?export=view&amp;id=1uKpJjAMX_WKjc3YRqVsh8ZDhrZ3leF4T",1)</f>
        <v/>
      </c>
      <c r="F338" s="6" t="s">
        <v>1737</v>
      </c>
      <c r="G338" s="6" t="s">
        <v>1738</v>
      </c>
      <c r="H338" s="1" t="s">
        <v>173</v>
      </c>
      <c r="I338" s="7">
        <v>45828.54584047454</v>
      </c>
      <c r="J338" s="7">
        <v>45860.70233946759</v>
      </c>
      <c r="K338" s="1" t="s">
        <v>246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60.0" customHeight="1">
      <c r="A339" s="1" t="s">
        <v>1739</v>
      </c>
      <c r="B339" s="1" t="s">
        <v>1740</v>
      </c>
      <c r="C339" s="2" t="s">
        <v>1741</v>
      </c>
      <c r="D339" s="5" t="str">
        <f>IMAGE("https://drive.google.com/uc?export=view&amp;id=16slSLceklYwvw_SeQ-2XULmJCVECOyVd",2)</f>
        <v/>
      </c>
      <c r="E339" s="5" t="str">
        <f>IMAGE("https://drive.google.com/uc?export=view&amp;id=16slSLceklYwvw_SeQ-2XULmJCVECOyVd",1)</f>
        <v/>
      </c>
      <c r="F339" s="6" t="s">
        <v>1742</v>
      </c>
      <c r="G339" s="6" t="s">
        <v>1743</v>
      </c>
      <c r="H339" s="1" t="s">
        <v>173</v>
      </c>
      <c r="I339" s="7">
        <v>45828.54598980324</v>
      </c>
      <c r="J339" s="7">
        <v>45860.70250063657</v>
      </c>
      <c r="K339" s="1" t="s">
        <v>246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60.0" customHeight="1">
      <c r="A340" s="1" t="s">
        <v>1744</v>
      </c>
      <c r="B340" s="1" t="s">
        <v>1745</v>
      </c>
      <c r="C340" s="2" t="s">
        <v>1746</v>
      </c>
      <c r="D340" s="5" t="str">
        <f>IMAGE("https://drive.google.com/uc?export=view&amp;id=1HWUGrOg-WaT7MrdRcTMD4wxGWij3ozZf",2)</f>
        <v/>
      </c>
      <c r="E340" s="5" t="str">
        <f>IMAGE("https://drive.google.com/uc?export=view&amp;id=1HWUGrOg-WaT7MrdRcTMD4wxGWij3ozZf",1)</f>
        <v/>
      </c>
      <c r="F340" s="6" t="s">
        <v>1747</v>
      </c>
      <c r="G340" s="6" t="s">
        <v>1748</v>
      </c>
      <c r="H340" s="1" t="s">
        <v>16</v>
      </c>
      <c r="I340" s="7">
        <v>45872.785236944444</v>
      </c>
      <c r="J340" s="7">
        <v>45890.47304520833</v>
      </c>
      <c r="K340" s="1" t="s">
        <v>17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60.0" customHeight="1">
      <c r="A341" s="1" t="s">
        <v>1749</v>
      </c>
      <c r="B341" s="1" t="s">
        <v>1750</v>
      </c>
      <c r="C341" s="2" t="s">
        <v>1751</v>
      </c>
      <c r="D341" s="5" t="str">
        <f>IMAGE("https://drive.google.com/uc?export=view&amp;id=1EIhYg3bJTdhWquIWWs18JmuBOB0pFA3l",2)</f>
        <v/>
      </c>
      <c r="E341" s="5" t="str">
        <f>IMAGE("https://drive.google.com/uc?export=view&amp;id=1EIhYg3bJTdhWquIWWs18JmuBOB0pFA3l",1)</f>
        <v/>
      </c>
      <c r="F341" s="6" t="s">
        <v>1752</v>
      </c>
      <c r="G341" s="6" t="s">
        <v>1753</v>
      </c>
      <c r="H341" s="1" t="s">
        <v>23</v>
      </c>
      <c r="I341" s="7">
        <v>45898.58406221065</v>
      </c>
      <c r="J341" s="7">
        <v>45898.577673611115</v>
      </c>
      <c r="K341" s="1" t="s">
        <v>24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60.0" customHeight="1">
      <c r="A342" s="1" t="s">
        <v>1754</v>
      </c>
      <c r="B342" s="1" t="s">
        <v>1755</v>
      </c>
      <c r="C342" s="2" t="s">
        <v>1756</v>
      </c>
      <c r="D342" s="5" t="str">
        <f>IMAGE("https://drive.google.com/uc?export=view&amp;id=1ViGJuzaGgy81R4QjR9fs0JTqpLKGXVh2",2)</f>
        <v/>
      </c>
      <c r="E342" s="5" t="str">
        <f>IMAGE("https://drive.google.com/uc?export=view&amp;id=1ViGJuzaGgy81R4QjR9fs0JTqpLKGXVh2",1)</f>
        <v/>
      </c>
      <c r="F342" s="6" t="s">
        <v>1757</v>
      </c>
      <c r="G342" s="6" t="s">
        <v>1758</v>
      </c>
      <c r="H342" s="1" t="s">
        <v>70</v>
      </c>
      <c r="I342" s="7">
        <v>45889.68312037037</v>
      </c>
      <c r="J342" s="7">
        <v>45889.68318432871</v>
      </c>
      <c r="K342" s="1" t="s">
        <v>71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60.0" customHeight="1">
      <c r="A343" s="1" t="s">
        <v>1759</v>
      </c>
      <c r="B343" s="1" t="s">
        <v>1760</v>
      </c>
      <c r="C343" s="2" t="s">
        <v>1761</v>
      </c>
      <c r="D343" s="5" t="str">
        <f>IMAGE("https://drive.google.com/uc?export=view&amp;id=1mx_BFLcyEn1Ds5AwnffsyuhYbCctnECp",2)</f>
        <v/>
      </c>
      <c r="E343" s="5" t="str">
        <f>IMAGE("https://drive.google.com/uc?export=view&amp;id=1mx_BFLcyEn1Ds5AwnffsyuhYbCctnECp",1)</f>
        <v/>
      </c>
      <c r="F343" s="6" t="s">
        <v>1762</v>
      </c>
      <c r="G343" s="6" t="s">
        <v>1763</v>
      </c>
      <c r="H343" s="1" t="s">
        <v>16</v>
      </c>
      <c r="I343" s="7">
        <v>45875.06915833333</v>
      </c>
      <c r="J343" s="7">
        <v>45890.47317052083</v>
      </c>
      <c r="K343" s="1" t="s">
        <v>17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60.0" customHeight="1">
      <c r="A344" s="1" t="s">
        <v>1764</v>
      </c>
      <c r="B344" s="1" t="s">
        <v>1765</v>
      </c>
      <c r="C344" s="2" t="s">
        <v>1766</v>
      </c>
      <c r="D344" s="5" t="str">
        <f>IMAGE("https://drive.google.com/uc?export=view&amp;id=18ZJIw3NvvBpJmHK2FPoVIsGF6ccdSEvq",2)</f>
        <v/>
      </c>
      <c r="E344" s="5" t="str">
        <f>IMAGE("https://drive.google.com/uc?export=view&amp;id=18ZJIw3NvvBpJmHK2FPoVIsGF6ccdSEvq",1)</f>
        <v/>
      </c>
      <c r="F344" s="6" t="s">
        <v>1767</v>
      </c>
      <c r="G344" s="6" t="s">
        <v>1768</v>
      </c>
      <c r="H344" s="1" t="s">
        <v>23</v>
      </c>
      <c r="I344" s="7">
        <v>45898.58409481481</v>
      </c>
      <c r="J344" s="7">
        <v>45898.577673611115</v>
      </c>
      <c r="K344" s="1" t="s">
        <v>24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60.0" customHeight="1">
      <c r="A345" s="1" t="s">
        <v>1769</v>
      </c>
      <c r="B345" s="1" t="s">
        <v>1770</v>
      </c>
      <c r="C345" s="2" t="s">
        <v>1771</v>
      </c>
      <c r="D345" s="5" t="str">
        <f>IMAGE("https://drive.google.com/uc?export=view&amp;id=1o2P_AeTEf6dmtHlG_O-SSDudkyxq-Qts",2)</f>
        <v/>
      </c>
      <c r="E345" s="5" t="str">
        <f>IMAGE("https://drive.google.com/uc?export=view&amp;id=1o2P_AeTEf6dmtHlG_O-SSDudkyxq-Qts",1)</f>
        <v/>
      </c>
      <c r="F345" s="6" t="s">
        <v>1772</v>
      </c>
      <c r="G345" s="6" t="s">
        <v>1773</v>
      </c>
      <c r="H345" s="1" t="s">
        <v>30</v>
      </c>
      <c r="I345" s="7">
        <v>45897.45437603009</v>
      </c>
      <c r="J345" s="7">
        <v>45913.55064016204</v>
      </c>
      <c r="K345" s="1" t="s">
        <v>31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60.0" customHeight="1">
      <c r="A346" s="1" t="s">
        <v>1774</v>
      </c>
      <c r="B346" s="1" t="s">
        <v>1775</v>
      </c>
      <c r="C346" s="2" t="s">
        <v>1776</v>
      </c>
      <c r="D346" s="5" t="str">
        <f>IMAGE("https://drive.google.com/uc?export=view&amp;id=1U1n6ol2gBpJujNiuYvL1MXd96C3NmL8E",2)</f>
        <v/>
      </c>
      <c r="E346" s="5" t="str">
        <f>IMAGE("https://drive.google.com/uc?export=view&amp;id=1U1n6ol2gBpJujNiuYvL1MXd96C3NmL8E",1)</f>
        <v/>
      </c>
      <c r="F346" s="6" t="s">
        <v>1777</v>
      </c>
      <c r="G346" s="6" t="s">
        <v>1778</v>
      </c>
      <c r="H346" s="1" t="s">
        <v>16</v>
      </c>
      <c r="I346" s="7">
        <v>45878.44989002315</v>
      </c>
      <c r="J346" s="7">
        <v>45890.47332741898</v>
      </c>
      <c r="K346" s="1" t="s">
        <v>17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60.0" customHeight="1">
      <c r="A347" s="1" t="s">
        <v>1779</v>
      </c>
      <c r="B347" s="1" t="s">
        <v>1780</v>
      </c>
      <c r="C347" s="2" t="s">
        <v>1781</v>
      </c>
      <c r="D347" s="5" t="str">
        <f>IMAGE("https://drive.google.com/uc?export=view&amp;id=1nrQQaPO7-UGkPuqMlf7zwX8qbaofD7dV",2)</f>
        <v/>
      </c>
      <c r="E347" s="5" t="str">
        <f>IMAGE("https://drive.google.com/uc?export=view&amp;id=1nrQQaPO7-UGkPuqMlf7zwX8qbaofD7dV",1)</f>
        <v/>
      </c>
      <c r="F347" s="6" t="s">
        <v>1782</v>
      </c>
      <c r="G347" s="6" t="s">
        <v>1783</v>
      </c>
      <c r="H347" s="1" t="s">
        <v>23</v>
      </c>
      <c r="I347" s="7">
        <v>45898.584113854165</v>
      </c>
      <c r="J347" s="7">
        <v>45898.577673611115</v>
      </c>
      <c r="K347" s="1" t="s">
        <v>24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60.0" customHeight="1">
      <c r="A348" s="1" t="s">
        <v>1784</v>
      </c>
      <c r="B348" s="1" t="s">
        <v>1785</v>
      </c>
      <c r="C348" s="2" t="s">
        <v>1786</v>
      </c>
      <c r="D348" s="5" t="str">
        <f>IMAGE("https://drive.google.com/uc?export=view&amp;id=1PDAT0LdOtNawScX_IrU-vMeHPstu2l_e",2)</f>
        <v/>
      </c>
      <c r="E348" s="5" t="str">
        <f>IMAGE("https://drive.google.com/uc?export=view&amp;id=1PDAT0LdOtNawScX_IrU-vMeHPstu2l_e",1)</f>
        <v/>
      </c>
      <c r="F348" s="6" t="s">
        <v>1787</v>
      </c>
      <c r="G348" s="6" t="s">
        <v>1788</v>
      </c>
      <c r="H348" s="1" t="s">
        <v>16</v>
      </c>
      <c r="I348" s="7">
        <v>45878.45005305555</v>
      </c>
      <c r="J348" s="7">
        <v>45890.47352694444</v>
      </c>
      <c r="K348" s="1" t="s">
        <v>17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60.0" customHeight="1">
      <c r="A349" s="1" t="s">
        <v>1789</v>
      </c>
      <c r="B349" s="1" t="s">
        <v>1790</v>
      </c>
      <c r="C349" s="2" t="s">
        <v>1791</v>
      </c>
      <c r="D349" s="5" t="str">
        <f>IMAGE("https://drive.google.com/uc?export=view&amp;id=1ZGu4YxvzV-R7MeCV-EAawHC61l5mIIhQ",2)</f>
        <v/>
      </c>
      <c r="E349" s="5" t="str">
        <f>IMAGE("https://drive.google.com/uc?export=view&amp;id=1ZGu4YxvzV-R7MeCV-EAawHC61l5mIIhQ",1)</f>
        <v/>
      </c>
      <c r="F349" s="6" t="s">
        <v>1792</v>
      </c>
      <c r="G349" s="6" t="s">
        <v>1793</v>
      </c>
      <c r="H349" s="1" t="s">
        <v>23</v>
      </c>
      <c r="I349" s="7">
        <v>45898.58414224537</v>
      </c>
      <c r="J349" s="7">
        <v>45898.577673611115</v>
      </c>
      <c r="K349" s="1" t="s">
        <v>24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60.0" customHeight="1">
      <c r="A350" s="1" t="s">
        <v>1794</v>
      </c>
      <c r="B350" s="1" t="s">
        <v>1795</v>
      </c>
      <c r="C350" s="2" t="s">
        <v>1796</v>
      </c>
      <c r="D350" s="5" t="str">
        <f>IMAGE("https://drive.google.com/uc?export=view&amp;id=1VEFnlPWN-OXeuKl6YElSHSBU4uUH0lBs",2)</f>
        <v/>
      </c>
      <c r="E350" s="5" t="str">
        <f>IMAGE("https://drive.google.com/uc?export=view&amp;id=1VEFnlPWN-OXeuKl6YElSHSBU4uUH0lBs",1)</f>
        <v/>
      </c>
      <c r="F350" s="6" t="s">
        <v>1797</v>
      </c>
      <c r="G350" s="6" t="s">
        <v>1798</v>
      </c>
      <c r="H350" s="1" t="s">
        <v>30</v>
      </c>
      <c r="I350" s="7">
        <v>45913.54451331019</v>
      </c>
      <c r="J350" s="7">
        <v>45904.46435185186</v>
      </c>
      <c r="K350" s="1" t="s">
        <v>31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60.0" customHeight="1">
      <c r="A351" s="1" t="s">
        <v>1799</v>
      </c>
      <c r="B351" s="1" t="s">
        <v>1800</v>
      </c>
      <c r="C351" s="2" t="s">
        <v>1801</v>
      </c>
      <c r="D351" s="5" t="str">
        <f>IMAGE("https://drive.google.com/uc?export=view&amp;id=1D2tAoe9g2rX9jWryido_KT1JCZ0RAw-S",2)</f>
        <v/>
      </c>
      <c r="E351" s="5" t="str">
        <f>IMAGE("https://drive.google.com/uc?export=view&amp;id=1D2tAoe9g2rX9jWryido_KT1JCZ0RAw-S",1)</f>
        <v/>
      </c>
      <c r="F351" s="6" t="s">
        <v>1802</v>
      </c>
      <c r="G351" s="6" t="s">
        <v>1803</v>
      </c>
      <c r="H351" s="1" t="s">
        <v>16</v>
      </c>
      <c r="I351" s="7">
        <v>45875.0701053125</v>
      </c>
      <c r="J351" s="7">
        <v>45890.473982615746</v>
      </c>
      <c r="K351" s="1" t="s">
        <v>17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60.0" customHeight="1">
      <c r="A352" s="1" t="s">
        <v>1804</v>
      </c>
      <c r="B352" s="1" t="s">
        <v>1805</v>
      </c>
      <c r="C352" s="2" t="s">
        <v>1806</v>
      </c>
      <c r="D352" s="5" t="str">
        <f>IMAGE("https://drive.google.com/uc?export=view&amp;id=1AcaHQy-2weYGCZH_jJEk0ZhnZvE1SgW2",2)</f>
        <v/>
      </c>
      <c r="E352" s="5" t="str">
        <f>IMAGE("https://drive.google.com/uc?export=view&amp;id=1AcaHQy-2weYGCZH_jJEk0ZhnZvE1SgW2",1)</f>
        <v/>
      </c>
      <c r="F352" s="6" t="s">
        <v>1807</v>
      </c>
      <c r="G352" s="6" t="s">
        <v>1808</v>
      </c>
      <c r="H352" s="1" t="s">
        <v>23</v>
      </c>
      <c r="I352" s="7">
        <v>45898.58435462963</v>
      </c>
      <c r="J352" s="7">
        <v>45898.577673611115</v>
      </c>
      <c r="K352" s="1" t="s">
        <v>24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60.0" customHeight="1">
      <c r="A353" s="1" t="s">
        <v>1809</v>
      </c>
      <c r="B353" s="1" t="s">
        <v>1810</v>
      </c>
      <c r="C353" s="2" t="s">
        <v>1811</v>
      </c>
      <c r="D353" s="5" t="str">
        <f>IMAGE("https://drive.google.com/uc?export=view&amp;id=1EI8HcVO-oDsMxs4SadpOxbWhIp5z0v3J",2)</f>
        <v/>
      </c>
      <c r="E353" s="5" t="str">
        <f>IMAGE("https://drive.google.com/uc?export=view&amp;id=1EI8HcVO-oDsMxs4SadpOxbWhIp5z0v3J",1)</f>
        <v/>
      </c>
      <c r="F353" s="6" t="s">
        <v>1812</v>
      </c>
      <c r="G353" s="6" t="s">
        <v>1813</v>
      </c>
      <c r="H353" s="1" t="s">
        <v>63</v>
      </c>
      <c r="I353" s="7">
        <v>45828.542772500005</v>
      </c>
      <c r="J353" s="7">
        <v>45860.69135986111</v>
      </c>
      <c r="K353" s="1" t="s">
        <v>64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60.0" customHeight="1">
      <c r="A354" s="1" t="s">
        <v>1814</v>
      </c>
      <c r="B354" s="1" t="s">
        <v>1815</v>
      </c>
      <c r="C354" s="2" t="s">
        <v>1816</v>
      </c>
      <c r="D354" s="5" t="str">
        <f>IMAGE("https://drive.google.com/uc?export=view&amp;id=1D5RjDRNHZ7gnqLlflzIZebMMmJMzHJRd",2)</f>
        <v/>
      </c>
      <c r="E354" s="5" t="str">
        <f>IMAGE("https://drive.google.com/uc?export=view&amp;id=1D5RjDRNHZ7gnqLlflzIZebMMmJMzHJRd",1)</f>
        <v/>
      </c>
      <c r="F354" s="6" t="s">
        <v>1817</v>
      </c>
      <c r="G354" s="6" t="s">
        <v>1818</v>
      </c>
      <c r="H354" s="1" t="s">
        <v>63</v>
      </c>
      <c r="I354" s="7">
        <v>45828.542769594904</v>
      </c>
      <c r="J354" s="7">
        <v>45860.69136788194</v>
      </c>
      <c r="K354" s="1" t="s">
        <v>64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60.0" customHeight="1">
      <c r="A355" s="1" t="s">
        <v>1819</v>
      </c>
      <c r="B355" s="1" t="s">
        <v>1820</v>
      </c>
      <c r="C355" s="2" t="s">
        <v>1821</v>
      </c>
      <c r="D355" s="5" t="str">
        <f>IMAGE("https://drive.google.com/uc?export=view&amp;id=18xMHHKF_ulWOADKt-Ceo5xQuhxJIN9YA",2)</f>
        <v/>
      </c>
      <c r="E355" s="5" t="str">
        <f>IMAGE("https://drive.google.com/uc?export=view&amp;id=18xMHHKF_ulWOADKt-Ceo5xQuhxJIN9YA",1)</f>
        <v/>
      </c>
      <c r="F355" s="6" t="s">
        <v>1822</v>
      </c>
      <c r="G355" s="6" t="s">
        <v>1823</v>
      </c>
      <c r="H355" s="1" t="s">
        <v>114</v>
      </c>
      <c r="I355" s="7">
        <v>45828.546420115745</v>
      </c>
      <c r="J355" s="7">
        <v>45864.48866703703</v>
      </c>
      <c r="K355" s="1" t="s">
        <v>115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60.0" customHeight="1">
      <c r="A356" s="1" t="s">
        <v>1824</v>
      </c>
      <c r="B356" s="1" t="s">
        <v>1825</v>
      </c>
      <c r="C356" s="2" t="s">
        <v>1826</v>
      </c>
      <c r="D356" s="5" t="str">
        <f>IMAGE("https://drive.google.com/uc?export=view&amp;id=1TDALzyQmFJJxTZjPSZWQ1NMCVNVMhIZ0",2)</f>
        <v/>
      </c>
      <c r="E356" s="5" t="str">
        <f>IMAGE("https://drive.google.com/uc?export=view&amp;id=1TDALzyQmFJJxTZjPSZWQ1NMCVNVMhIZ0",1)</f>
        <v/>
      </c>
      <c r="F356" s="6" t="s">
        <v>1827</v>
      </c>
      <c r="G356" s="6" t="s">
        <v>1828</v>
      </c>
      <c r="H356" s="1" t="s">
        <v>114</v>
      </c>
      <c r="I356" s="7">
        <v>45828.5461222338</v>
      </c>
      <c r="J356" s="7">
        <v>45862.49065435185</v>
      </c>
      <c r="K356" s="1" t="s">
        <v>115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60.0" customHeight="1">
      <c r="A357" s="1" t="s">
        <v>1829</v>
      </c>
      <c r="B357" s="1" t="s">
        <v>1830</v>
      </c>
      <c r="C357" s="2" t="s">
        <v>1831</v>
      </c>
      <c r="D357" s="5" t="str">
        <f>IMAGE("https://drive.google.com/uc?export=view&amp;id=1uLjilIx4xYlT6kLWytGiRwb2eMKwscUv",2)</f>
        <v/>
      </c>
      <c r="E357" s="5" t="str">
        <f>IMAGE("https://drive.google.com/uc?export=view&amp;id=1uLjilIx4xYlT6kLWytGiRwb2eMKwscUv",1)</f>
        <v/>
      </c>
      <c r="F357" s="6" t="s">
        <v>1832</v>
      </c>
      <c r="G357" s="6" t="s">
        <v>1833</v>
      </c>
      <c r="H357" s="1" t="s">
        <v>16</v>
      </c>
      <c r="I357" s="7">
        <v>45873.51047743055</v>
      </c>
      <c r="J357" s="7">
        <v>45890.474120706014</v>
      </c>
      <c r="K357" s="1" t="s">
        <v>17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60.0" customHeight="1">
      <c r="A358" s="1" t="s">
        <v>1834</v>
      </c>
      <c r="B358" s="1" t="s">
        <v>1835</v>
      </c>
      <c r="C358" s="2" t="s">
        <v>1836</v>
      </c>
      <c r="D358" s="5" t="str">
        <f>IMAGE("https://drive.google.com/uc?export=view&amp;id=1yCRqhMwHdTv5x-vePCcOs0xW4KMUH1KX",2)</f>
        <v/>
      </c>
      <c r="E358" s="5" t="str">
        <f>IMAGE("https://drive.google.com/uc?export=view&amp;id=1yCRqhMwHdTv5x-vePCcOs0xW4KMUH1KX",1)</f>
        <v/>
      </c>
      <c r="F358" s="6" t="s">
        <v>1837</v>
      </c>
      <c r="G358" s="6" t="s">
        <v>1838</v>
      </c>
      <c r="H358" s="1" t="s">
        <v>23</v>
      </c>
      <c r="I358" s="7">
        <v>45898.58400715278</v>
      </c>
      <c r="J358" s="7">
        <v>45898.577685185184</v>
      </c>
      <c r="K358" s="1" t="s">
        <v>24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60.0" customHeight="1">
      <c r="A359" s="1" t="s">
        <v>1839</v>
      </c>
      <c r="B359" s="1" t="s">
        <v>1840</v>
      </c>
      <c r="C359" s="2" t="s">
        <v>1841</v>
      </c>
      <c r="D359" s="5" t="str">
        <f>IMAGE("https://drive.google.com/uc?export=view&amp;id=14DgTKDEiLRrSdLvgwMb6w47ctYJrcOWk",2)</f>
        <v/>
      </c>
      <c r="E359" s="5" t="str">
        <f>IMAGE("https://drive.google.com/uc?export=view&amp;id=14DgTKDEiLRrSdLvgwMb6w47ctYJrcOWk",1)</f>
        <v/>
      </c>
      <c r="F359" s="6" t="s">
        <v>1842</v>
      </c>
      <c r="G359" s="6" t="s">
        <v>1843</v>
      </c>
      <c r="H359" s="1" t="s">
        <v>114</v>
      </c>
      <c r="I359" s="7">
        <v>45828.54627180556</v>
      </c>
      <c r="J359" s="7">
        <v>45860.70266177083</v>
      </c>
      <c r="K359" s="1" t="s">
        <v>115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60.0" customHeight="1">
      <c r="A360" s="1" t="s">
        <v>1844</v>
      </c>
      <c r="B360" s="1" t="s">
        <v>1845</v>
      </c>
      <c r="C360" s="2" t="s">
        <v>1846</v>
      </c>
      <c r="D360" s="5" t="str">
        <f>IMAGE("https://drive.google.com/uc?export=view&amp;id=1VNxdJk_K_3-3Ebp0M8vLsOir_YvPU9AP",2)</f>
        <v/>
      </c>
      <c r="E360" s="5" t="str">
        <f>IMAGE("https://drive.google.com/uc?export=view&amp;id=1VNxdJk_K_3-3Ebp0M8vLsOir_YvPU9AP",1)</f>
        <v/>
      </c>
      <c r="F360" s="6" t="s">
        <v>1847</v>
      </c>
      <c r="G360" s="6" t="s">
        <v>1848</v>
      </c>
      <c r="H360" s="1" t="s">
        <v>16</v>
      </c>
      <c r="I360" s="7">
        <v>45873.510607013886</v>
      </c>
      <c r="J360" s="7">
        <v>45890.47425424769</v>
      </c>
      <c r="K360" s="1" t="s">
        <v>17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60.0" customHeight="1">
      <c r="A361" s="1" t="s">
        <v>1849</v>
      </c>
      <c r="B361" s="1" t="s">
        <v>1850</v>
      </c>
      <c r="C361" s="2" t="s">
        <v>1851</v>
      </c>
      <c r="D361" s="5" t="str">
        <f>IMAGE("https://drive.google.com/uc?export=view&amp;id=1SBH4sQg_fLYQsBOYxhHHLYZU5GdzP--j",2)</f>
        <v/>
      </c>
      <c r="E361" s="5" t="str">
        <f>IMAGE("https://drive.google.com/uc?export=view&amp;id=1SBH4sQg_fLYQsBOYxhHHLYZU5GdzP--j",1)</f>
        <v/>
      </c>
      <c r="F361" s="6" t="s">
        <v>1852</v>
      </c>
      <c r="G361" s="6" t="s">
        <v>1853</v>
      </c>
      <c r="H361" s="1" t="s">
        <v>23</v>
      </c>
      <c r="I361" s="7">
        <v>45898.58402909723</v>
      </c>
      <c r="J361" s="7">
        <v>45898.577685185184</v>
      </c>
      <c r="K361" s="1" t="s">
        <v>24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60.0" customHeight="1">
      <c r="A362" s="1" t="s">
        <v>1854</v>
      </c>
      <c r="B362" s="1" t="s">
        <v>1855</v>
      </c>
      <c r="C362" s="2" t="s">
        <v>1856</v>
      </c>
      <c r="D362" s="5" t="str">
        <f>IMAGE("https://drive.google.com/uc?export=view&amp;id=1MxlUxnhmA18-VOdFdEiGr52brFHKcmj0",2)</f>
        <v/>
      </c>
      <c r="E362" s="5" t="str">
        <f>IMAGE("https://drive.google.com/uc?export=view&amp;id=1MxlUxnhmA18-VOdFdEiGr52brFHKcmj0",1)</f>
        <v/>
      </c>
      <c r="F362" s="6" t="s">
        <v>1857</v>
      </c>
      <c r="G362" s="6" t="s">
        <v>1858</v>
      </c>
      <c r="H362" s="1" t="s">
        <v>114</v>
      </c>
      <c r="I362" s="7">
        <v>46005.51520009259</v>
      </c>
      <c r="J362" s="7">
        <v>46005.51329861111</v>
      </c>
      <c r="K362" s="1" t="s">
        <v>115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60.0" customHeight="1">
      <c r="A363" s="1" t="s">
        <v>1859</v>
      </c>
      <c r="B363" s="1" t="s">
        <v>1860</v>
      </c>
      <c r="C363" s="2" t="s">
        <v>1861</v>
      </c>
      <c r="D363" s="5" t="str">
        <f>IMAGE("https://drive.google.com/uc?export=view&amp;id=18yYOSm-unRC6vg7UMgqYmru7Onjhfx4i",2)</f>
        <v/>
      </c>
      <c r="E363" s="5" t="str">
        <f>IMAGE("https://drive.google.com/uc?export=view&amp;id=18yYOSm-unRC6vg7UMgqYmru7Onjhfx4i",1)</f>
        <v/>
      </c>
      <c r="F363" s="6" t="s">
        <v>1862</v>
      </c>
      <c r="G363" s="6" t="s">
        <v>1863</v>
      </c>
      <c r="H363" s="1" t="s">
        <v>114</v>
      </c>
      <c r="I363" s="7">
        <v>45860.69285577546</v>
      </c>
      <c r="J363" s="7">
        <v>45934.58861496528</v>
      </c>
      <c r="K363" s="1" t="s">
        <v>115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60.0" customHeight="1">
      <c r="A364" s="1" t="s">
        <v>1864</v>
      </c>
      <c r="B364" s="1" t="s">
        <v>1865</v>
      </c>
      <c r="C364" s="2" t="s">
        <v>1866</v>
      </c>
      <c r="D364" s="5" t="str">
        <f>IMAGE("https://drive.google.com/uc?export=view&amp;id=18DIqSN5B5e1ZjcrqfEyxpj-GdhWMOPP8",2)</f>
        <v/>
      </c>
      <c r="E364" s="5" t="str">
        <f>IMAGE("https://drive.google.com/uc?export=view&amp;id=18DIqSN5B5e1ZjcrqfEyxpj-GdhWMOPP8",1)</f>
        <v/>
      </c>
      <c r="F364" s="6" t="s">
        <v>1867</v>
      </c>
      <c r="G364" s="6" t="s">
        <v>1868</v>
      </c>
      <c r="H364" s="1" t="s">
        <v>114</v>
      </c>
      <c r="I364" s="7">
        <v>45828.546716655095</v>
      </c>
      <c r="J364" s="7">
        <v>45860.70296964121</v>
      </c>
      <c r="K364" s="1" t="s">
        <v>115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60.0" customHeight="1">
      <c r="A365" s="1" t="s">
        <v>1869</v>
      </c>
      <c r="B365" s="1" t="s">
        <v>1870</v>
      </c>
      <c r="C365" s="2" t="s">
        <v>1871</v>
      </c>
      <c r="D365" s="5" t="str">
        <f>IMAGE("https://drive.google.com/uc?export=view&amp;id=18kmrJIkJ70w1OIUw5wD6TqgKt9N4vgur",2)</f>
        <v/>
      </c>
      <c r="E365" s="5" t="str">
        <f>IMAGE("https://drive.google.com/uc?export=view&amp;id=18kmrJIkJ70w1OIUw5wD6TqgKt9N4vgur",1)</f>
        <v/>
      </c>
      <c r="F365" s="6" t="s">
        <v>1872</v>
      </c>
      <c r="G365" s="6" t="s">
        <v>1873</v>
      </c>
      <c r="H365" s="1" t="s">
        <v>114</v>
      </c>
      <c r="I365" s="7">
        <v>45828.54683594908</v>
      </c>
      <c r="J365" s="7">
        <v>45857.04724671296</v>
      </c>
      <c r="K365" s="1" t="s">
        <v>115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60.0" customHeight="1">
      <c r="A366" s="1" t="s">
        <v>1874</v>
      </c>
      <c r="B366" s="1" t="s">
        <v>1875</v>
      </c>
      <c r="C366" s="2" t="s">
        <v>1876</v>
      </c>
      <c r="D366" s="5" t="str">
        <f>IMAGE("https://drive.google.com/uc?export=view&amp;id=1IP_WZesO112688yAcOpk2B98L0u1PWhP",2)</f>
        <v/>
      </c>
      <c r="E366" s="5" t="str">
        <f>IMAGE("https://drive.google.com/uc?export=view&amp;id=1IP_WZesO112688yAcOpk2B98L0u1PWhP",1)</f>
        <v/>
      </c>
      <c r="F366" s="6" t="s">
        <v>1877</v>
      </c>
      <c r="G366" s="6" t="s">
        <v>1878</v>
      </c>
      <c r="H366" s="1" t="s">
        <v>114</v>
      </c>
      <c r="I366" s="7">
        <v>45828.54698532408</v>
      </c>
      <c r="J366" s="7">
        <v>45857.04720261574</v>
      </c>
      <c r="K366" s="1" t="s">
        <v>115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60.0" customHeight="1">
      <c r="A367" s="1" t="s">
        <v>1879</v>
      </c>
      <c r="B367" s="1" t="s">
        <v>1880</v>
      </c>
      <c r="C367" s="2" t="s">
        <v>1881</v>
      </c>
      <c r="D367" s="5" t="str">
        <f>IMAGE("https://drive.google.com/uc?export=view&amp;id=1dEFZSzTnj1axhnoLycSUigJWLNyszzhH",2)</f>
        <v/>
      </c>
      <c r="E367" s="5" t="str">
        <f>IMAGE("https://drive.google.com/uc?export=view&amp;id=1dEFZSzTnj1axhnoLycSUigJWLNyszzhH",1)</f>
        <v/>
      </c>
      <c r="F367" s="6" t="s">
        <v>1882</v>
      </c>
      <c r="G367" s="6" t="s">
        <v>1883</v>
      </c>
      <c r="H367" s="1" t="s">
        <v>177</v>
      </c>
      <c r="I367" s="7">
        <v>45948.90978269676</v>
      </c>
      <c r="J367" s="7">
        <v>45948.91011064815</v>
      </c>
      <c r="K367" s="1" t="s">
        <v>178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60.0" customHeight="1">
      <c r="A368" s="1" t="s">
        <v>1884</v>
      </c>
      <c r="B368" s="1" t="s">
        <v>1885</v>
      </c>
      <c r="C368" s="2" t="s">
        <v>1886</v>
      </c>
      <c r="D368" s="5" t="str">
        <f>IMAGE("https://drive.google.com/uc?export=view&amp;id=1Qx6QoFAuHUQZMzEI68tgOgMjH1hO9Nhk",2)</f>
        <v/>
      </c>
      <c r="E368" s="5" t="str">
        <f>IMAGE("https://drive.google.com/uc?export=view&amp;id=1Qx6QoFAuHUQZMzEI68tgOgMjH1hO9Nhk",1)</f>
        <v/>
      </c>
      <c r="F368" s="6" t="s">
        <v>1887</v>
      </c>
      <c r="G368" s="6" t="s">
        <v>1888</v>
      </c>
      <c r="H368" s="1" t="s">
        <v>114</v>
      </c>
      <c r="I368" s="7">
        <v>45828.54713936342</v>
      </c>
      <c r="J368" s="7">
        <v>45860.703151828704</v>
      </c>
      <c r="K368" s="1" t="s">
        <v>115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60.0" customHeight="1">
      <c r="A369" s="1" t="s">
        <v>1889</v>
      </c>
      <c r="B369" s="1" t="s">
        <v>1890</v>
      </c>
      <c r="C369" s="2" t="s">
        <v>1891</v>
      </c>
      <c r="D369" s="5" t="str">
        <f>IMAGE("https://drive.google.com/uc?export=view&amp;id=1lEn-ttF3D4GO-_IZ9NBXZ3FzNzW21_hp",2)</f>
        <v/>
      </c>
      <c r="E369" s="5" t="str">
        <f>IMAGE("https://drive.google.com/uc?export=view&amp;id=1lEn-ttF3D4GO-_IZ9NBXZ3FzNzW21_hp",1)</f>
        <v/>
      </c>
      <c r="F369" s="6" t="s">
        <v>1892</v>
      </c>
      <c r="G369" s="6" t="s">
        <v>1893</v>
      </c>
      <c r="H369" s="1" t="s">
        <v>30</v>
      </c>
      <c r="I369" s="7">
        <v>45897.4545458912</v>
      </c>
      <c r="J369" s="7">
        <v>45913.550847569444</v>
      </c>
      <c r="K369" s="1" t="s">
        <v>31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60.0" customHeight="1">
      <c r="A370" s="1" t="s">
        <v>1894</v>
      </c>
      <c r="B370" s="1" t="s">
        <v>1895</v>
      </c>
      <c r="C370" s="2" t="s">
        <v>1896</v>
      </c>
      <c r="D370" s="5" t="str">
        <f>IMAGE("https://drive.google.com/uc?export=view&amp;id=1Nhi7wAWTwat25Ofvk8rX-ws_p4FhNC0Q",2)</f>
        <v/>
      </c>
      <c r="E370" s="5" t="str">
        <f>IMAGE("https://drive.google.com/uc?export=view&amp;id=1Nhi7wAWTwat25Ofvk8rX-ws_p4FhNC0Q",1)</f>
        <v/>
      </c>
      <c r="F370" s="6" t="s">
        <v>1897</v>
      </c>
      <c r="G370" s="6" t="s">
        <v>1898</v>
      </c>
      <c r="H370" s="1" t="s">
        <v>30</v>
      </c>
      <c r="I370" s="7">
        <v>45913.54764056713</v>
      </c>
      <c r="J370" s="7">
        <v>45904.45585648148</v>
      </c>
      <c r="K370" s="1" t="s">
        <v>31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60.0" customHeight="1">
      <c r="A371" s="1" t="s">
        <v>1899</v>
      </c>
      <c r="B371" s="1" t="s">
        <v>1900</v>
      </c>
      <c r="C371" s="2" t="s">
        <v>1901</v>
      </c>
      <c r="D371" s="5" t="str">
        <f>IMAGE("https://drive.google.com/uc?export=view&amp;id=1Cv_NGpDd33ZfaVk2gWOJ1j9U4Ne8F0-W",2)</f>
        <v/>
      </c>
      <c r="E371" s="5" t="str">
        <f>IMAGE("https://drive.google.com/uc?export=view&amp;id=1Cv_NGpDd33ZfaVk2gWOJ1j9U4Ne8F0-W",1)</f>
        <v/>
      </c>
      <c r="F371" s="6" t="s">
        <v>1902</v>
      </c>
      <c r="G371" s="6" t="s">
        <v>1903</v>
      </c>
      <c r="H371" s="1" t="s">
        <v>92</v>
      </c>
      <c r="I371" s="7">
        <v>46009.44765083333</v>
      </c>
      <c r="J371" s="7">
        <v>46009.44681712963</v>
      </c>
      <c r="K371" s="1" t="s">
        <v>93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60.0" customHeight="1">
      <c r="A372" s="1" t="s">
        <v>1904</v>
      </c>
      <c r="B372" s="1" t="s">
        <v>1905</v>
      </c>
      <c r="C372" s="2" t="s">
        <v>1906</v>
      </c>
      <c r="D372" s="5" t="str">
        <f>IMAGE("https://drive.google.com/uc?export=view&amp;id=1IlDOu14sKe-sD0Bmo-d9ZpIy738r8KVJ",2)</f>
        <v/>
      </c>
      <c r="E372" s="5" t="str">
        <f>IMAGE("https://drive.google.com/uc?export=view&amp;id=1IlDOu14sKe-sD0Bmo-d9ZpIy738r8KVJ",1)</f>
        <v/>
      </c>
      <c r="F372" s="6" t="s">
        <v>1907</v>
      </c>
      <c r="G372" s="6" t="s">
        <v>1908</v>
      </c>
      <c r="H372" s="1" t="s">
        <v>353</v>
      </c>
      <c r="I372" s="7">
        <v>45828.54727866898</v>
      </c>
      <c r="J372" s="7">
        <v>46018.689059826385</v>
      </c>
      <c r="K372" s="1" t="s">
        <v>354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60.0" customHeight="1">
      <c r="A373" s="1" t="s">
        <v>1909</v>
      </c>
      <c r="B373" s="1" t="s">
        <v>1910</v>
      </c>
      <c r="C373" s="2" t="s">
        <v>1911</v>
      </c>
      <c r="D373" s="5" t="str">
        <f>IMAGE("https://drive.google.com/uc?export=view&amp;id=1mHu69AaJxK7d5_m5wv5jwkWfXC22OP0o",2)</f>
        <v/>
      </c>
      <c r="E373" s="5" t="str">
        <f>IMAGE("https://drive.google.com/uc?export=view&amp;id=1mHu69AaJxK7d5_m5wv5jwkWfXC22OP0o",1)</f>
        <v/>
      </c>
      <c r="F373" s="6" t="s">
        <v>1912</v>
      </c>
      <c r="G373" s="6" t="s">
        <v>1913</v>
      </c>
      <c r="H373" s="1" t="s">
        <v>16</v>
      </c>
      <c r="I373" s="7">
        <v>45875.070215914355</v>
      </c>
      <c r="J373" s="7">
        <v>45890.47572673611</v>
      </c>
      <c r="K373" s="1" t="s">
        <v>17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60.0" customHeight="1">
      <c r="A374" s="1" t="s">
        <v>1914</v>
      </c>
      <c r="B374" s="1" t="s">
        <v>1915</v>
      </c>
      <c r="C374" s="2" t="s">
        <v>1916</v>
      </c>
      <c r="D374" s="5" t="str">
        <f>IMAGE("https://drive.google.com/uc?export=view&amp;id=17oR-z5t6gv35-DXYdCYVFfD4cBWL7DN7",2)</f>
        <v/>
      </c>
      <c r="E374" s="5" t="str">
        <f>IMAGE("https://drive.google.com/uc?export=view&amp;id=17oR-z5t6gv35-DXYdCYVFfD4cBWL7DN7",1)</f>
        <v/>
      </c>
      <c r="F374" s="6" t="s">
        <v>1917</v>
      </c>
      <c r="G374" s="6" t="s">
        <v>1918</v>
      </c>
      <c r="H374" s="1" t="s">
        <v>23</v>
      </c>
      <c r="I374" s="7">
        <v>45898.58435462963</v>
      </c>
      <c r="J374" s="7">
        <v>45898.577685185184</v>
      </c>
      <c r="K374" s="1" t="s">
        <v>24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60.0" customHeight="1">
      <c r="A375" s="1" t="s">
        <v>1919</v>
      </c>
      <c r="B375" s="1" t="s">
        <v>1920</v>
      </c>
      <c r="C375" s="2" t="s">
        <v>1921</v>
      </c>
      <c r="D375" s="5" t="str">
        <f>IMAGE("https://drive.google.com/uc?export=view&amp;id=1AuYNquM4Ot-5MUxtLe1y5F422Fpy24ZC",2)</f>
        <v/>
      </c>
      <c r="E375" s="5" t="str">
        <f>IMAGE("https://drive.google.com/uc?export=view&amp;id=1AuYNquM4Ot-5MUxtLe1y5F422Fpy24ZC",1)</f>
        <v/>
      </c>
      <c r="F375" s="6" t="s">
        <v>1922</v>
      </c>
      <c r="G375" s="6" t="s">
        <v>1923</v>
      </c>
      <c r="H375" s="1" t="s">
        <v>30</v>
      </c>
      <c r="I375" s="7">
        <v>45913.54469751158</v>
      </c>
      <c r="J375" s="7">
        <v>45913.528715277775</v>
      </c>
      <c r="K375" s="1" t="s">
        <v>31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60.0" customHeight="1">
      <c r="A376" s="1" t="s">
        <v>1924</v>
      </c>
      <c r="B376" s="1" t="s">
        <v>1925</v>
      </c>
      <c r="C376" s="2" t="s">
        <v>1926</v>
      </c>
      <c r="D376" s="5" t="str">
        <f>IMAGE("https://drive.google.com/uc?export=view&amp;id=1ykl1jxvcC5txHklfmaNQ6iClkdCGcLXk",2)</f>
        <v/>
      </c>
      <c r="E376" s="5" t="str">
        <f>IMAGE("https://drive.google.com/uc?export=view&amp;id=1ykl1jxvcC5txHklfmaNQ6iClkdCGcLXk",1)</f>
        <v/>
      </c>
      <c r="F376" s="6" t="s">
        <v>1927</v>
      </c>
      <c r="G376" s="6" t="s">
        <v>1928</v>
      </c>
      <c r="H376" s="1" t="s">
        <v>16</v>
      </c>
      <c r="I376" s="7">
        <v>45872.78535633102</v>
      </c>
      <c r="J376" s="7">
        <v>45890.47438201389</v>
      </c>
      <c r="K376" s="1" t="s">
        <v>17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60.0" customHeight="1">
      <c r="A377" s="1" t="s">
        <v>1929</v>
      </c>
      <c r="B377" s="1" t="s">
        <v>1930</v>
      </c>
      <c r="C377" s="2" t="s">
        <v>1931</v>
      </c>
      <c r="D377" s="5" t="str">
        <f>IMAGE("https://drive.google.com/uc?export=view&amp;id=15e_cuyHDsIhar8P16BONvpSTpYDcnyDN",2)</f>
        <v/>
      </c>
      <c r="E377" s="5" t="str">
        <f>IMAGE("https://drive.google.com/uc?export=view&amp;id=15e_cuyHDsIhar8P16BONvpSTpYDcnyDN",1)</f>
        <v/>
      </c>
      <c r="F377" s="6" t="s">
        <v>1932</v>
      </c>
      <c r="G377" s="6" t="s">
        <v>1933</v>
      </c>
      <c r="H377" s="1" t="s">
        <v>23</v>
      </c>
      <c r="I377" s="7">
        <v>45898.58402909723</v>
      </c>
      <c r="J377" s="7">
        <v>45898.577685185184</v>
      </c>
      <c r="K377" s="1" t="s">
        <v>24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60.0" customHeight="1">
      <c r="A378" s="1" t="s">
        <v>1934</v>
      </c>
      <c r="B378" s="1" t="s">
        <v>1935</v>
      </c>
      <c r="C378" s="2" t="s">
        <v>1936</v>
      </c>
      <c r="D378" s="5" t="str">
        <f>IMAGE("https://drive.google.com/uc?export=view&amp;id=1_CGo6T4sJqjGqDUkIZ7UThqBFwrSBzrd",2)</f>
        <v/>
      </c>
      <c r="E378" s="5" t="str">
        <f>IMAGE("https://drive.google.com/uc?export=view&amp;id=1_CGo6T4sJqjGqDUkIZ7UThqBFwrSBzrd",1)</f>
        <v/>
      </c>
      <c r="F378" s="6" t="s">
        <v>1937</v>
      </c>
      <c r="G378" s="6" t="s">
        <v>1938</v>
      </c>
      <c r="H378" s="1" t="s">
        <v>16</v>
      </c>
      <c r="I378" s="7">
        <v>45887.49849586806</v>
      </c>
      <c r="J378" s="7">
        <v>45890.4745471412</v>
      </c>
      <c r="K378" s="1" t="s">
        <v>17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60.0" customHeight="1">
      <c r="A379" s="1" t="s">
        <v>1939</v>
      </c>
      <c r="B379" s="1" t="s">
        <v>1940</v>
      </c>
      <c r="C379" s="2" t="s">
        <v>1941</v>
      </c>
      <c r="D379" s="5" t="str">
        <f>IMAGE("https://drive.google.com/uc?export=view&amp;id=12VmtMTCfjY6VdCDouEULwYcDNgdMJwSI",2)</f>
        <v/>
      </c>
      <c r="E379" s="5" t="str">
        <f>IMAGE("https://drive.google.com/uc?export=view&amp;id=12VmtMTCfjY6VdCDouEULwYcDNgdMJwSI",1)</f>
        <v/>
      </c>
      <c r="F379" s="6" t="s">
        <v>1942</v>
      </c>
      <c r="G379" s="6" t="s">
        <v>1943</v>
      </c>
      <c r="H379" s="1" t="s">
        <v>23</v>
      </c>
      <c r="I379" s="7">
        <v>45898.58402909723</v>
      </c>
      <c r="J379" s="7">
        <v>45898.577685185184</v>
      </c>
      <c r="K379" s="1" t="s">
        <v>24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60.0" customHeight="1">
      <c r="A380" s="1" t="s">
        <v>1944</v>
      </c>
      <c r="B380" s="1" t="s">
        <v>1945</v>
      </c>
      <c r="C380" s="2" t="s">
        <v>1946</v>
      </c>
      <c r="D380" s="5" t="str">
        <f>IMAGE("https://drive.google.com/uc?export=view&amp;id=1kq-8SnQv1GRdQRL9zcOrY5C48uPN8BQo",2)</f>
        <v/>
      </c>
      <c r="E380" s="5" t="str">
        <f>IMAGE("https://drive.google.com/uc?export=view&amp;id=1kq-8SnQv1GRdQRL9zcOrY5C48uPN8BQo",1)</f>
        <v/>
      </c>
      <c r="F380" s="6" t="s">
        <v>1947</v>
      </c>
      <c r="G380" s="6" t="s">
        <v>1948</v>
      </c>
      <c r="H380" s="1" t="s">
        <v>16</v>
      </c>
      <c r="I380" s="7">
        <v>45878.45019747685</v>
      </c>
      <c r="J380" s="7">
        <v>45890.47472778935</v>
      </c>
      <c r="K380" s="1" t="s">
        <v>17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60.0" customHeight="1">
      <c r="A381" s="1" t="s">
        <v>1949</v>
      </c>
      <c r="B381" s="1" t="s">
        <v>1950</v>
      </c>
      <c r="C381" s="2" t="s">
        <v>1951</v>
      </c>
      <c r="D381" s="5" t="str">
        <f>IMAGE("https://drive.google.com/uc?export=view&amp;id=1srthMHdO_5O9qhfH-HXc_diR_-DSCGBb",2)</f>
        <v/>
      </c>
      <c r="E381" s="5" t="str">
        <f>IMAGE("https://drive.google.com/uc?export=view&amp;id=1srthMHdO_5O9qhfH-HXc_diR_-DSCGBb",1)</f>
        <v/>
      </c>
      <c r="F381" s="6" t="s">
        <v>1952</v>
      </c>
      <c r="G381" s="6" t="s">
        <v>1953</v>
      </c>
      <c r="H381" s="1" t="s">
        <v>23</v>
      </c>
      <c r="I381" s="7">
        <v>45898.5842570949</v>
      </c>
      <c r="J381" s="7">
        <v>45898.577685185184</v>
      </c>
      <c r="K381" s="1" t="s">
        <v>24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60.0" customHeight="1">
      <c r="A382" s="1" t="s">
        <v>1954</v>
      </c>
      <c r="B382" s="1" t="s">
        <v>1955</v>
      </c>
      <c r="C382" s="2" t="s">
        <v>1956</v>
      </c>
      <c r="D382" s="5" t="str">
        <f>IMAGE("https://drive.google.com/uc?export=view&amp;id=12AjWOJyhn2REE_ansfqHzESl9_WpRikT",2)</f>
        <v/>
      </c>
      <c r="E382" s="5" t="str">
        <f>IMAGE("https://drive.google.com/uc?export=view&amp;id=12AjWOJyhn2REE_ansfqHzESl9_WpRikT",1)</f>
        <v/>
      </c>
      <c r="F382" s="6" t="s">
        <v>1957</v>
      </c>
      <c r="G382" s="6" t="s">
        <v>1958</v>
      </c>
      <c r="H382" s="1" t="s">
        <v>449</v>
      </c>
      <c r="I382" s="7">
        <v>46009.39860028935</v>
      </c>
      <c r="J382" s="7">
        <v>46008.72423611111</v>
      </c>
      <c r="K382" s="1" t="s">
        <v>450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60.0" customHeight="1">
      <c r="A383" s="1" t="s">
        <v>1959</v>
      </c>
      <c r="B383" s="1" t="s">
        <v>1960</v>
      </c>
      <c r="C383" s="2" t="s">
        <v>1961</v>
      </c>
      <c r="D383" s="5" t="str">
        <f>IMAGE("https://drive.google.com/uc?export=view&amp;id=1pgRBHMLKeEyn1RRM20J2CXuNFc5-ZT15",2)</f>
        <v/>
      </c>
      <c r="E383" s="5" t="str">
        <f>IMAGE("https://drive.google.com/uc?export=view&amp;id=1pgRBHMLKeEyn1RRM20J2CXuNFc5-ZT15",1)</f>
        <v/>
      </c>
      <c r="F383" s="6" t="s">
        <v>1962</v>
      </c>
      <c r="G383" s="6" t="s">
        <v>1963</v>
      </c>
      <c r="H383" s="1" t="s">
        <v>114</v>
      </c>
      <c r="I383" s="7">
        <v>45828.552479606486</v>
      </c>
      <c r="J383" s="7">
        <v>45864.98369983796</v>
      </c>
      <c r="K383" s="1" t="s">
        <v>115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60.0" customHeight="1">
      <c r="A384" s="1" t="s">
        <v>1964</v>
      </c>
      <c r="B384" s="1" t="s">
        <v>1965</v>
      </c>
      <c r="C384" s="2" t="s">
        <v>1966</v>
      </c>
      <c r="D384" s="5" t="str">
        <f>IMAGE("https://drive.google.com/uc?export=view&amp;id=1otpZxVvrGVugzyoEeiHzDtiGCD2x3FhB",2)</f>
        <v/>
      </c>
      <c r="E384" s="5" t="str">
        <f>IMAGE("https://drive.google.com/uc?export=view&amp;id=1otpZxVvrGVugzyoEeiHzDtiGCD2x3FhB",1)</f>
        <v/>
      </c>
      <c r="F384" s="6" t="s">
        <v>1967</v>
      </c>
      <c r="G384" s="6" t="s">
        <v>1968</v>
      </c>
      <c r="H384" s="1" t="s">
        <v>16</v>
      </c>
      <c r="I384" s="7">
        <v>45872.78164163194</v>
      </c>
      <c r="J384" s="7">
        <v>45890.47485655092</v>
      </c>
      <c r="K384" s="1" t="s">
        <v>17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60.0" customHeight="1">
      <c r="A385" s="1" t="s">
        <v>1969</v>
      </c>
      <c r="B385" s="1" t="s">
        <v>1970</v>
      </c>
      <c r="C385" s="2" t="s">
        <v>1971</v>
      </c>
      <c r="D385" s="5" t="str">
        <f>IMAGE("https://drive.google.com/uc?export=view&amp;id=1NLW9Yh8YaM-HZDUAbUgUIYEhuLjbMWwo",2)</f>
        <v/>
      </c>
      <c r="E385" s="5" t="str">
        <f>IMAGE("https://drive.google.com/uc?export=view&amp;id=1NLW9Yh8YaM-HZDUAbUgUIYEhuLjbMWwo",1)</f>
        <v/>
      </c>
      <c r="F385" s="6" t="s">
        <v>1972</v>
      </c>
      <c r="G385" s="6" t="s">
        <v>1973</v>
      </c>
      <c r="H385" s="1" t="s">
        <v>23</v>
      </c>
      <c r="I385" s="7">
        <v>45898.58393612268</v>
      </c>
      <c r="J385" s="7">
        <v>45898.57769675926</v>
      </c>
      <c r="K385" s="1" t="s">
        <v>24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60.0" customHeight="1">
      <c r="A386" s="1" t="s">
        <v>1974</v>
      </c>
      <c r="B386" s="1" t="s">
        <v>1975</v>
      </c>
      <c r="C386" s="2" t="s">
        <v>1976</v>
      </c>
      <c r="D386" s="5" t="str">
        <f>IMAGE("https://drive.google.com/uc?export=view&amp;id=1BZeDzzkIYPEMdk4wo4cAQqdqiMYRXq2f",2)</f>
        <v/>
      </c>
      <c r="E386" s="5" t="str">
        <f>IMAGE("https://drive.google.com/uc?export=view&amp;id=1BZeDzzkIYPEMdk4wo4cAQqdqiMYRXq2f",1)</f>
        <v/>
      </c>
      <c r="F386" s="6" t="s">
        <v>1977</v>
      </c>
      <c r="G386" s="6" t="s">
        <v>1978</v>
      </c>
      <c r="H386" s="1" t="s">
        <v>30</v>
      </c>
      <c r="I386" s="7">
        <v>45913.55467894676</v>
      </c>
      <c r="J386" s="7">
        <v>45902.50393518519</v>
      </c>
      <c r="K386" s="1" t="s">
        <v>31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60.0" customHeight="1">
      <c r="A387" s="1" t="s">
        <v>1979</v>
      </c>
      <c r="B387" s="1" t="s">
        <v>1980</v>
      </c>
      <c r="C387" s="2" t="s">
        <v>1981</v>
      </c>
      <c r="D387" s="5" t="str">
        <f>IMAGE("https://drive.google.com/uc?export=view&amp;id=1M0EtKIzLfa4AAau0hxMFHXiPLK5wiHwt",2)</f>
        <v/>
      </c>
      <c r="E387" s="5" t="str">
        <f>IMAGE("https://drive.google.com/uc?export=view&amp;id=1M0EtKIzLfa4AAau0hxMFHXiPLK5wiHwt",1)</f>
        <v/>
      </c>
      <c r="F387" s="6" t="s">
        <v>1982</v>
      </c>
      <c r="G387" s="6" t="s">
        <v>1983</v>
      </c>
      <c r="H387" s="1" t="s">
        <v>30</v>
      </c>
      <c r="I387" s="7">
        <v>45913.55451883102</v>
      </c>
      <c r="J387" s="7">
        <v>46048.685950405095</v>
      </c>
      <c r="K387" s="1" t="s">
        <v>31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60.0" customHeight="1">
      <c r="A388" s="1" t="s">
        <v>1984</v>
      </c>
      <c r="B388" s="1" t="s">
        <v>1985</v>
      </c>
      <c r="C388" s="2" t="s">
        <v>1986</v>
      </c>
      <c r="D388" s="5" t="str">
        <f>IMAGE("https://drive.google.com/uc?export=view&amp;id=12DIYZZPFCFSniecDtWtRU4jXOZdKXtqX",2)</f>
        <v/>
      </c>
      <c r="E388" s="5" t="str">
        <f>IMAGE("https://drive.google.com/uc?export=view&amp;id=12DIYZZPFCFSniecDtWtRU4jXOZdKXtqX",1)</f>
        <v/>
      </c>
      <c r="F388" s="6" t="s">
        <v>1987</v>
      </c>
      <c r="G388" s="6" t="s">
        <v>1988</v>
      </c>
      <c r="H388" s="1" t="s">
        <v>30</v>
      </c>
      <c r="I388" s="7">
        <v>45897.45798859953</v>
      </c>
      <c r="J388" s="7">
        <v>45913.55482951389</v>
      </c>
      <c r="K388" s="1" t="s">
        <v>31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60.0" customHeight="1">
      <c r="A389" s="1" t="s">
        <v>1989</v>
      </c>
      <c r="B389" s="1" t="s">
        <v>1990</v>
      </c>
      <c r="C389" s="2" t="s">
        <v>1991</v>
      </c>
      <c r="D389" s="5" t="str">
        <f>IMAGE("https://drive.google.com/uc?export=view&amp;id=1qePQJmVfakr5ws3UBWhD7ijAIKPWyU6g",2)</f>
        <v/>
      </c>
      <c r="E389" s="5" t="str">
        <f>IMAGE("https://drive.google.com/uc?export=view&amp;id=1qePQJmVfakr5ws3UBWhD7ijAIKPWyU6g",1)</f>
        <v/>
      </c>
      <c r="F389" s="6" t="s">
        <v>1992</v>
      </c>
      <c r="G389" s="6" t="s">
        <v>1993</v>
      </c>
      <c r="H389" s="1" t="s">
        <v>16</v>
      </c>
      <c r="I389" s="7">
        <v>45872.783821296296</v>
      </c>
      <c r="J389" s="7">
        <v>45890.47501317129</v>
      </c>
      <c r="K389" s="1" t="s">
        <v>17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60.0" customHeight="1">
      <c r="A390" s="1" t="s">
        <v>1994</v>
      </c>
      <c r="B390" s="1" t="s">
        <v>1995</v>
      </c>
      <c r="C390" s="2" t="s">
        <v>1996</v>
      </c>
      <c r="D390" s="5" t="str">
        <f>IMAGE("https://drive.google.com/uc?export=view&amp;id=17Rd3XmUBLoJ0bWQ9SnZq9WxQHT7gvl-_",2)</f>
        <v/>
      </c>
      <c r="E390" s="5" t="str">
        <f>IMAGE("https://drive.google.com/uc?export=view&amp;id=17Rd3XmUBLoJ0bWQ9SnZq9WxQHT7gvl-_",1)</f>
        <v/>
      </c>
      <c r="F390" s="6" t="s">
        <v>1997</v>
      </c>
      <c r="G390" s="6" t="s">
        <v>1998</v>
      </c>
      <c r="H390" s="1" t="s">
        <v>23</v>
      </c>
      <c r="I390" s="7">
        <v>45898.58393612268</v>
      </c>
      <c r="J390" s="7">
        <v>45898.57769675926</v>
      </c>
      <c r="K390" s="1" t="s">
        <v>24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60.0" customHeight="1">
      <c r="A391" s="1" t="s">
        <v>1999</v>
      </c>
      <c r="B391" s="1" t="s">
        <v>2000</v>
      </c>
      <c r="C391" s="2" t="s">
        <v>2001</v>
      </c>
      <c r="D391" s="5" t="str">
        <f>IMAGE("https://drive.google.com/uc?export=view&amp;id=1QydGY0xDA-7LV4M2wH2Yu_0L4ywpyGMX",2)</f>
        <v/>
      </c>
      <c r="E391" s="5" t="str">
        <f>IMAGE("https://drive.google.com/uc?export=view&amp;id=1QydGY0xDA-7LV4M2wH2Yu_0L4ywpyGMX",1)</f>
        <v/>
      </c>
      <c r="F391" s="6" t="s">
        <v>2002</v>
      </c>
      <c r="G391" s="6" t="s">
        <v>2003</v>
      </c>
      <c r="H391" s="1" t="s">
        <v>16</v>
      </c>
      <c r="I391" s="7">
        <v>45892.855198923615</v>
      </c>
      <c r="J391" s="7">
        <v>45892.85179398148</v>
      </c>
      <c r="K391" s="1" t="s">
        <v>17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60.0" customHeight="1">
      <c r="A392" s="1" t="s">
        <v>2004</v>
      </c>
      <c r="B392" s="1" t="s">
        <v>2005</v>
      </c>
      <c r="C392" s="2" t="s">
        <v>2006</v>
      </c>
      <c r="D392" s="5" t="str">
        <f>IMAGE("https://drive.google.com/uc?export=view&amp;id=1WRAmeXPgUm8duFAIrdth1I3IB4GEUt8s",2)</f>
        <v/>
      </c>
      <c r="E392" s="5" t="str">
        <f>IMAGE("https://drive.google.com/uc?export=view&amp;id=1WRAmeXPgUm8duFAIrdth1I3IB4GEUt8s",1)</f>
        <v/>
      </c>
      <c r="F392" s="6" t="s">
        <v>2007</v>
      </c>
      <c r="G392" s="6" t="s">
        <v>2008</v>
      </c>
      <c r="H392" s="1" t="s">
        <v>23</v>
      </c>
      <c r="I392" s="7">
        <v>45898.583983819444</v>
      </c>
      <c r="J392" s="7">
        <v>45898.57769675926</v>
      </c>
      <c r="K392" s="1" t="s">
        <v>24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60.0" customHeight="1">
      <c r="A393" s="1" t="s">
        <v>2009</v>
      </c>
      <c r="B393" s="1" t="s">
        <v>2010</v>
      </c>
      <c r="C393" s="2" t="s">
        <v>2011</v>
      </c>
      <c r="D393" s="5" t="str">
        <f>IMAGE("https://drive.google.com/uc?export=view&amp;id=1Iy9ttBqqbL0kMzfN46yyljbpSZi4rTx9",2)</f>
        <v/>
      </c>
      <c r="E393" s="5" t="str">
        <f>IMAGE("https://drive.google.com/uc?export=view&amp;id=1Iy9ttBqqbL0kMzfN46yyljbpSZi4rTx9",1)</f>
        <v/>
      </c>
      <c r="F393" s="6" t="s">
        <v>2012</v>
      </c>
      <c r="G393" s="6" t="s">
        <v>2013</v>
      </c>
      <c r="H393" s="1" t="s">
        <v>30</v>
      </c>
      <c r="I393" s="7">
        <v>45897.45468069444</v>
      </c>
      <c r="J393" s="7">
        <v>45913.551001898144</v>
      </c>
      <c r="K393" s="1" t="s">
        <v>31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60.0" customHeight="1">
      <c r="A394" s="1" t="s">
        <v>2014</v>
      </c>
      <c r="B394" s="1" t="s">
        <v>2015</v>
      </c>
      <c r="C394" s="2" t="s">
        <v>2016</v>
      </c>
      <c r="D394" s="5" t="str">
        <f>IMAGE("https://drive.google.com/uc?export=view&amp;id=1JqSL9QwSEtiVNWIRTy8OV5ii6i1RLxM0",2)</f>
        <v/>
      </c>
      <c r="E394" s="5" t="str">
        <f>IMAGE("https://drive.google.com/uc?export=view&amp;id=1JqSL9QwSEtiVNWIRTy8OV5ii6i1RLxM0",1)</f>
        <v/>
      </c>
      <c r="F394" s="6" t="s">
        <v>2017</v>
      </c>
      <c r="G394" s="6" t="s">
        <v>2018</v>
      </c>
      <c r="H394" s="1" t="s">
        <v>16</v>
      </c>
      <c r="I394" s="7">
        <v>45873.51257100694</v>
      </c>
      <c r="J394" s="7">
        <v>45890.47586320602</v>
      </c>
      <c r="K394" s="1" t="s">
        <v>17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60.0" customHeight="1">
      <c r="A395" s="1" t="s">
        <v>2019</v>
      </c>
      <c r="B395" s="1" t="s">
        <v>2020</v>
      </c>
      <c r="C395" s="2" t="s">
        <v>2021</v>
      </c>
      <c r="D395" s="5" t="str">
        <f>IMAGE("https://drive.google.com/uc?export=view&amp;id=1ALSx4NeR9LVCoP1QIZ2MVChJpqO7jEEO",2)</f>
        <v/>
      </c>
      <c r="E395" s="5" t="str">
        <f>IMAGE("https://drive.google.com/uc?export=view&amp;id=1ALSx4NeR9LVCoP1QIZ2MVChJpqO7jEEO",1)</f>
        <v/>
      </c>
      <c r="F395" s="6" t="s">
        <v>2022</v>
      </c>
      <c r="G395" s="6" t="s">
        <v>2023</v>
      </c>
      <c r="H395" s="1" t="s">
        <v>23</v>
      </c>
      <c r="I395" s="7">
        <v>45898.58400446759</v>
      </c>
      <c r="J395" s="7">
        <v>45898.57769675926</v>
      </c>
      <c r="K395" s="1" t="s">
        <v>24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60.0" customHeight="1">
      <c r="A396" s="1" t="s">
        <v>2024</v>
      </c>
      <c r="B396" s="1" t="s">
        <v>2025</v>
      </c>
      <c r="C396" s="2" t="s">
        <v>2026</v>
      </c>
      <c r="D396" s="5" t="str">
        <f>IMAGE("https://drive.google.com/uc?export=view&amp;id=1IB3b2jHJjj33WlQjDNRKzGtOQXKyQTS2",2)</f>
        <v/>
      </c>
      <c r="E396" s="5" t="str">
        <f>IMAGE("https://drive.google.com/uc?export=view&amp;id=1IB3b2jHJjj33WlQjDNRKzGtOQXKyQTS2",1)</f>
        <v/>
      </c>
      <c r="F396" s="6" t="s">
        <v>2027</v>
      </c>
      <c r="G396" s="6" t="s">
        <v>2028</v>
      </c>
      <c r="H396" s="1" t="s">
        <v>820</v>
      </c>
      <c r="I396" s="7">
        <v>46017.518432303244</v>
      </c>
      <c r="J396" s="7">
        <v>46010.93622685185</v>
      </c>
      <c r="K396" s="1" t="s">
        <v>821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60.0" customHeight="1">
      <c r="A397" s="1" t="s">
        <v>2029</v>
      </c>
      <c r="B397" s="1" t="s">
        <v>2030</v>
      </c>
      <c r="C397" s="2" t="s">
        <v>2031</v>
      </c>
      <c r="D397" s="5" t="str">
        <f>IMAGE("https://drive.google.com/uc?export=view&amp;id=1zKxnYjxQgFfuuiuLbw9ak95C9PENQohB",2)</f>
        <v/>
      </c>
      <c r="E397" s="5" t="str">
        <f>IMAGE("https://drive.google.com/uc?export=view&amp;id=1zKxnYjxQgFfuuiuLbw9ak95C9PENQohB",1)</f>
        <v/>
      </c>
      <c r="F397" s="6" t="s">
        <v>2032</v>
      </c>
      <c r="G397" s="6" t="s">
        <v>2033</v>
      </c>
      <c r="H397" s="1" t="s">
        <v>70</v>
      </c>
      <c r="I397" s="7">
        <v>45884.62557940972</v>
      </c>
      <c r="J397" s="7">
        <v>45884.6255818287</v>
      </c>
      <c r="K397" s="1" t="s">
        <v>71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60.0" customHeight="1">
      <c r="A398" s="1" t="s">
        <v>2034</v>
      </c>
      <c r="B398" s="1" t="s">
        <v>2035</v>
      </c>
      <c r="C398" s="2" t="s">
        <v>2036</v>
      </c>
      <c r="D398" s="5" t="str">
        <f>IMAGE("https://drive.google.com/uc?export=view&amp;id=1DLJ2KrwnEujjkPOyxpPC-vZeypW5Luhd",2)</f>
        <v/>
      </c>
      <c r="E398" s="5" t="str">
        <f>IMAGE("https://drive.google.com/uc?export=view&amp;id=1DLJ2KrwnEujjkPOyxpPC-vZeypW5Luhd",1)</f>
        <v/>
      </c>
      <c r="F398" s="6" t="s">
        <v>2037</v>
      </c>
      <c r="G398" s="6" t="s">
        <v>2038</v>
      </c>
      <c r="H398" s="1" t="s">
        <v>16</v>
      </c>
      <c r="I398" s="7">
        <v>45887.498649201385</v>
      </c>
      <c r="J398" s="7">
        <v>45890.476130740746</v>
      </c>
      <c r="K398" s="1" t="s">
        <v>17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60.0" customHeight="1">
      <c r="A399" s="1" t="s">
        <v>2039</v>
      </c>
      <c r="B399" s="1" t="s">
        <v>2040</v>
      </c>
      <c r="C399" s="2" t="s">
        <v>2041</v>
      </c>
      <c r="D399" s="5" t="str">
        <f>IMAGE("https://drive.google.com/uc?export=view&amp;id=1XdoxmoSZYJhMtA9Ogk-ygH1F_b7h-_2t",2)</f>
        <v/>
      </c>
      <c r="E399" s="5" t="str">
        <f>IMAGE("https://drive.google.com/uc?export=view&amp;id=1XdoxmoSZYJhMtA9Ogk-ygH1F_b7h-_2t",1)</f>
        <v/>
      </c>
      <c r="F399" s="6" t="s">
        <v>2042</v>
      </c>
      <c r="G399" s="6" t="s">
        <v>2043</v>
      </c>
      <c r="H399" s="1" t="s">
        <v>23</v>
      </c>
      <c r="I399" s="7">
        <v>45898.58393541667</v>
      </c>
      <c r="J399" s="7">
        <v>45898.57770833334</v>
      </c>
      <c r="K399" s="1" t="s">
        <v>24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60.0" customHeight="1">
      <c r="A400" s="1" t="s">
        <v>2044</v>
      </c>
      <c r="B400" s="1" t="s">
        <v>2045</v>
      </c>
      <c r="C400" s="2" t="s">
        <v>2046</v>
      </c>
      <c r="D400" s="5" t="str">
        <f>IMAGE("https://drive.google.com/uc?export=view&amp;id=1CvoSArCqD9gfMbKJUi9OBKJ7HKirZIi3",2)</f>
        <v/>
      </c>
      <c r="E400" s="5" t="str">
        <f>IMAGE("https://drive.google.com/uc?export=view&amp;id=1CvoSArCqD9gfMbKJUi9OBKJ7HKirZIi3",1)</f>
        <v/>
      </c>
      <c r="F400" s="6" t="s">
        <v>2047</v>
      </c>
      <c r="G400" s="6" t="s">
        <v>2048</v>
      </c>
      <c r="H400" s="1" t="s">
        <v>16</v>
      </c>
      <c r="I400" s="7">
        <v>45869.48216319444</v>
      </c>
      <c r="J400" s="7">
        <v>45869.48233457176</v>
      </c>
      <c r="K400" s="1" t="s">
        <v>57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60.0" customHeight="1">
      <c r="A401" s="1" t="s">
        <v>2049</v>
      </c>
      <c r="B401" s="1" t="s">
        <v>2050</v>
      </c>
      <c r="C401" s="2" t="s">
        <v>2051</v>
      </c>
      <c r="D401" s="5" t="str">
        <f>IMAGE("https://drive.google.com/uc?export=view&amp;id=1bJVzl-oNbGrzdcZPP0XsVKXq_IWoaPHv",2)</f>
        <v/>
      </c>
      <c r="E401" s="5" t="str">
        <f>IMAGE("https://drive.google.com/uc?export=view&amp;id=1bJVzl-oNbGrzdcZPP0XsVKXq_IWoaPHv",1)</f>
        <v/>
      </c>
      <c r="F401" s="6" t="s">
        <v>2052</v>
      </c>
      <c r="G401" s="6" t="s">
        <v>2053</v>
      </c>
      <c r="H401" s="1" t="s">
        <v>92</v>
      </c>
      <c r="I401" s="7">
        <v>45841.51930378472</v>
      </c>
      <c r="J401" s="7">
        <v>45860.70346421296</v>
      </c>
      <c r="K401" s="1" t="s">
        <v>93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60.0" customHeight="1">
      <c r="A402" s="1" t="s">
        <v>2054</v>
      </c>
      <c r="B402" s="1" t="s">
        <v>2055</v>
      </c>
      <c r="C402" s="2" t="s">
        <v>2056</v>
      </c>
      <c r="D402" s="5" t="str">
        <f>IMAGE("https://drive.google.com/uc?export=view&amp;id=1g4nbToTIxSI8JyFSbkueoccioQHYeyeN",2)</f>
        <v/>
      </c>
      <c r="E402" s="5" t="str">
        <f>IMAGE("https://drive.google.com/uc?export=view&amp;id=1g4nbToTIxSI8JyFSbkueoccioQHYeyeN",1)</f>
        <v/>
      </c>
      <c r="F402" s="6" t="s">
        <v>2057</v>
      </c>
      <c r="G402" s="6" t="s">
        <v>2058</v>
      </c>
      <c r="H402" s="1" t="s">
        <v>2059</v>
      </c>
      <c r="I402" s="7">
        <v>46017.527674502315</v>
      </c>
      <c r="J402" s="7">
        <v>46012.86603009259</v>
      </c>
      <c r="K402" s="1" t="s">
        <v>2060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60.0" customHeight="1">
      <c r="A403" s="1" t="s">
        <v>2061</v>
      </c>
      <c r="B403" s="1" t="s">
        <v>2062</v>
      </c>
      <c r="C403" s="2" t="s">
        <v>2063</v>
      </c>
      <c r="D403" s="5" t="str">
        <f>IMAGE("https://drive.google.com/uc?export=view&amp;id=1RLCpNAiVWLdmjmjQcyWC3Q63U4k5pTIg",2)</f>
        <v/>
      </c>
      <c r="E403" s="5" t="str">
        <f>IMAGE("https://drive.google.com/uc?export=view&amp;id=1RLCpNAiVWLdmjmjQcyWC3Q63U4k5pTIg",1)</f>
        <v/>
      </c>
      <c r="F403" s="6" t="s">
        <v>2064</v>
      </c>
      <c r="G403" s="6" t="s">
        <v>2065</v>
      </c>
      <c r="H403" s="1" t="s">
        <v>646</v>
      </c>
      <c r="I403" s="7">
        <v>46068.730121608794</v>
      </c>
      <c r="J403" s="7">
        <v>46068.593622685185</v>
      </c>
      <c r="K403" s="1" t="s">
        <v>647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60.0" customHeight="1">
      <c r="A404" s="1" t="s">
        <v>2066</v>
      </c>
      <c r="B404" s="1" t="s">
        <v>2067</v>
      </c>
      <c r="C404" s="2" t="s">
        <v>2068</v>
      </c>
      <c r="D404" s="5" t="str">
        <f>IMAGE("https://drive.google.com/uc?export=view&amp;id=1psXUDDlePAlAtrslHFSwAvSO5RdL-9AV",2)</f>
        <v/>
      </c>
      <c r="E404" s="5" t="str">
        <f>IMAGE("https://drive.google.com/uc?export=view&amp;id=1psXUDDlePAlAtrslHFSwAvSO5RdL-9AV",1)</f>
        <v/>
      </c>
      <c r="F404" s="6" t="s">
        <v>2069</v>
      </c>
      <c r="G404" s="6" t="s">
        <v>2070</v>
      </c>
      <c r="H404" s="1" t="s">
        <v>173</v>
      </c>
      <c r="I404" s="7">
        <v>45828.54756195602</v>
      </c>
      <c r="J404" s="7">
        <v>45857.04571746528</v>
      </c>
      <c r="K404" s="1" t="s">
        <v>246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60.0" customHeight="1">
      <c r="A405" s="1" t="s">
        <v>2071</v>
      </c>
      <c r="B405" s="1" t="s">
        <v>2072</v>
      </c>
      <c r="C405" s="2" t="s">
        <v>2073</v>
      </c>
      <c r="D405" s="5" t="str">
        <f>IMAGE("https://drive.google.com/uc?export=view&amp;id=1PTlar7W58IxjNBn96FsP6vGMJnzXidjN",2)</f>
        <v/>
      </c>
      <c r="E405" s="5" t="str">
        <f>IMAGE("https://drive.google.com/uc?export=view&amp;id=1PTlar7W58IxjNBn96FsP6vGMJnzXidjN",1)</f>
        <v/>
      </c>
      <c r="F405" s="6" t="s">
        <v>2074</v>
      </c>
      <c r="G405" s="6" t="s">
        <v>2075</v>
      </c>
      <c r="H405" s="1" t="s">
        <v>405</v>
      </c>
      <c r="I405" s="7">
        <v>46067.80809265046</v>
      </c>
      <c r="J405" s="7">
        <v>46067.54255787037</v>
      </c>
      <c r="K405" s="1" t="s">
        <v>406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60.0" customHeight="1">
      <c r="A406" s="1" t="s">
        <v>2076</v>
      </c>
      <c r="B406" s="1" t="s">
        <v>2077</v>
      </c>
      <c r="C406" s="2" t="s">
        <v>2078</v>
      </c>
      <c r="D406" s="5" t="str">
        <f>IMAGE("https://drive.google.com/uc?export=view&amp;id=1y2_sfyHrAk8LZsVmhUAqgMPoYM20k8N2",2)</f>
        <v/>
      </c>
      <c r="E406" s="5" t="str">
        <f>IMAGE("https://drive.google.com/uc?export=view&amp;id=1y2_sfyHrAk8LZsVmhUAqgMPoYM20k8N2",1)</f>
        <v/>
      </c>
      <c r="F406" s="6" t="s">
        <v>2079</v>
      </c>
      <c r="G406" s="6" t="s">
        <v>2080</v>
      </c>
      <c r="H406" s="1" t="s">
        <v>449</v>
      </c>
      <c r="I406" s="7">
        <v>46009.47839329861</v>
      </c>
      <c r="J406" s="7">
        <v>46009.47795138889</v>
      </c>
      <c r="K406" s="1" t="s">
        <v>450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60.0" customHeight="1">
      <c r="A407" s="1" t="s">
        <v>2081</v>
      </c>
      <c r="B407" s="1" t="s">
        <v>2082</v>
      </c>
      <c r="C407" s="2" t="s">
        <v>2083</v>
      </c>
      <c r="D407" s="5" t="str">
        <f>IMAGE("https://drive.google.com/uc?export=view&amp;id=1x-zhZqasfeuP8RFx3nGvnyEJuD89OFtp",2)</f>
        <v/>
      </c>
      <c r="E407" s="5" t="str">
        <f>IMAGE("https://drive.google.com/uc?export=view&amp;id=1x-zhZqasfeuP8RFx3nGvnyEJuD89OFtp",1)</f>
        <v/>
      </c>
      <c r="F407" s="6" t="s">
        <v>2084</v>
      </c>
      <c r="G407" s="6" t="s">
        <v>2085</v>
      </c>
      <c r="H407" s="1" t="s">
        <v>92</v>
      </c>
      <c r="I407" s="7">
        <v>46006.521433842594</v>
      </c>
      <c r="J407" s="7">
        <v>46006.5206712963</v>
      </c>
      <c r="K407" s="1" t="s">
        <v>93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60.0" customHeight="1">
      <c r="A408" s="1" t="s">
        <v>2086</v>
      </c>
      <c r="B408" s="1" t="s">
        <v>2087</v>
      </c>
      <c r="C408" s="2" t="s">
        <v>2088</v>
      </c>
      <c r="D408" s="5" t="str">
        <f>IMAGE("https://drive.google.com/uc?export=view&amp;id=1e9W_Tbq0TLRtTMZqjA-EF4gYUxJw0Swm",2)</f>
        <v/>
      </c>
      <c r="E408" s="5" t="str">
        <f>IMAGE("https://drive.google.com/uc?export=view&amp;id=1e9W_Tbq0TLRtTMZqjA-EF4gYUxJw0Swm",1)</f>
        <v/>
      </c>
      <c r="F408" s="6" t="s">
        <v>2089</v>
      </c>
      <c r="G408" s="6" t="s">
        <v>2090</v>
      </c>
      <c r="H408" s="1" t="s">
        <v>16</v>
      </c>
      <c r="I408" s="7">
        <v>45872.78545887732</v>
      </c>
      <c r="J408" s="7">
        <v>45890.47596863426</v>
      </c>
      <c r="K408" s="1" t="s">
        <v>17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60.0" customHeight="1">
      <c r="A409" s="1" t="s">
        <v>2091</v>
      </c>
      <c r="B409" s="1" t="s">
        <v>2092</v>
      </c>
      <c r="C409" s="2" t="s">
        <v>2093</v>
      </c>
      <c r="D409" s="5" t="str">
        <f>IMAGE("https://drive.google.com/uc?export=view&amp;id=1UVqih7Xtu_15lUp4zvITVx1C6CW_4UDy",2)</f>
        <v/>
      </c>
      <c r="E409" s="5" t="str">
        <f>IMAGE("https://drive.google.com/uc?export=view&amp;id=1UVqih7Xtu_15lUp4zvITVx1C6CW_4UDy",1)</f>
        <v/>
      </c>
      <c r="F409" s="6" t="s">
        <v>2094</v>
      </c>
      <c r="G409" s="6" t="s">
        <v>2095</v>
      </c>
      <c r="H409" s="1" t="s">
        <v>23</v>
      </c>
      <c r="I409" s="7">
        <v>45898.583953368056</v>
      </c>
      <c r="J409" s="7">
        <v>45898.57770833334</v>
      </c>
      <c r="K409" s="1" t="s">
        <v>24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60.0" customHeight="1">
      <c r="A410" s="1" t="s">
        <v>2096</v>
      </c>
      <c r="B410" s="1" t="s">
        <v>2097</v>
      </c>
      <c r="C410" s="2" t="s">
        <v>2098</v>
      </c>
      <c r="D410" s="5" t="str">
        <f>IMAGE("https://drive.google.com/uc?export=view&amp;id=19NuHRnJ6pzBvVWJ9v0EIz0Z92PF2iQrZ",2)</f>
        <v/>
      </c>
      <c r="E410" s="5" t="str">
        <f>IMAGE("https://drive.google.com/uc?export=view&amp;id=19NuHRnJ6pzBvVWJ9v0EIz0Z92PF2iQrZ",1)</f>
        <v/>
      </c>
      <c r="F410" s="6" t="s">
        <v>2099</v>
      </c>
      <c r="G410" s="6" t="s">
        <v>2100</v>
      </c>
      <c r="H410" s="1" t="s">
        <v>70</v>
      </c>
      <c r="I410" s="7">
        <v>45868.75310693287</v>
      </c>
      <c r="J410" s="7">
        <v>45868.75315829861</v>
      </c>
      <c r="K410" s="1" t="s">
        <v>71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60.0" customHeight="1">
      <c r="A411" s="1" t="s">
        <v>2101</v>
      </c>
      <c r="B411" s="1" t="s">
        <v>2102</v>
      </c>
      <c r="C411" s="2" t="s">
        <v>2103</v>
      </c>
      <c r="D411" s="5" t="str">
        <f>IMAGE("https://drive.google.com/uc?export=view&amp;id=1dIQ01sJXTJlH7xjjCYmT8gNMQtI5uCSa",2)</f>
        <v/>
      </c>
      <c r="E411" s="5" t="str">
        <f>IMAGE("https://drive.google.com/uc?export=view&amp;id=1dIQ01sJXTJlH7xjjCYmT8gNMQtI5uCSa",1)</f>
        <v/>
      </c>
      <c r="F411" s="6" t="s">
        <v>2104</v>
      </c>
      <c r="G411" s="6" t="s">
        <v>2105</v>
      </c>
      <c r="H411" s="1" t="s">
        <v>16</v>
      </c>
      <c r="I411" s="7">
        <v>45890.45444944444</v>
      </c>
      <c r="J411" s="7">
        <v>45890.43650462963</v>
      </c>
      <c r="K411" s="1" t="s">
        <v>17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60.0" customHeight="1">
      <c r="A412" s="1" t="s">
        <v>2106</v>
      </c>
      <c r="B412" s="1" t="s">
        <v>2107</v>
      </c>
      <c r="C412" s="2" t="s">
        <v>2108</v>
      </c>
      <c r="D412" s="5" t="str">
        <f>IMAGE("https://drive.google.com/uc?export=view&amp;id=1fSu6BToJjc6sd-JC1ffFijVNYVuxia--",2)</f>
        <v/>
      </c>
      <c r="E412" s="5" t="str">
        <f>IMAGE("https://drive.google.com/uc?export=view&amp;id=1fSu6BToJjc6sd-JC1ffFijVNYVuxia--",1)</f>
        <v/>
      </c>
      <c r="F412" s="6" t="s">
        <v>2109</v>
      </c>
      <c r="G412" s="6" t="s">
        <v>2110</v>
      </c>
      <c r="H412" s="1" t="s">
        <v>23</v>
      </c>
      <c r="I412" s="7">
        <v>45898.58393612268</v>
      </c>
      <c r="J412" s="7">
        <v>45898.57770833334</v>
      </c>
      <c r="K412" s="1" t="s">
        <v>24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60.0" customHeight="1">
      <c r="A413" s="1" t="s">
        <v>2111</v>
      </c>
      <c r="B413" s="1" t="s">
        <v>2112</v>
      </c>
      <c r="C413" s="2" t="s">
        <v>2113</v>
      </c>
      <c r="D413" s="5" t="str">
        <f>IMAGE("https://drive.google.com/uc?export=view&amp;id=1sJWhXczNq5znaE9RWy3VlHVViVtJiZij",2)</f>
        <v/>
      </c>
      <c r="E413" s="5" t="str">
        <f>IMAGE("https://drive.google.com/uc?export=view&amp;id=1sJWhXczNq5znaE9RWy3VlHVViVtJiZij",1)</f>
        <v/>
      </c>
      <c r="F413" s="6" t="s">
        <v>2114</v>
      </c>
      <c r="G413" s="6" t="s">
        <v>2115</v>
      </c>
      <c r="H413" s="1" t="s">
        <v>30</v>
      </c>
      <c r="I413" s="7">
        <v>45913.544859525464</v>
      </c>
      <c r="J413" s="7">
        <v>45913.512615740736</v>
      </c>
      <c r="K413" s="1" t="s">
        <v>31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60.0" customHeight="1">
      <c r="A414" s="1" t="s">
        <v>2116</v>
      </c>
      <c r="B414" s="1" t="s">
        <v>2117</v>
      </c>
      <c r="C414" s="2" t="s">
        <v>2118</v>
      </c>
      <c r="D414" s="5" t="str">
        <f>IMAGE("https://drive.google.com/uc?export=view&amp;id=1Z5uzvk3jFalhtxVNoRK66ycEMjllqjg9",2)</f>
        <v/>
      </c>
      <c r="E414" s="5" t="str">
        <f>IMAGE("https://drive.google.com/uc?export=view&amp;id=1Z5uzvk3jFalhtxVNoRK66ycEMjllqjg9",1)</f>
        <v/>
      </c>
      <c r="F414" s="6" t="s">
        <v>2119</v>
      </c>
      <c r="G414" s="6" t="s">
        <v>2120</v>
      </c>
      <c r="H414" s="1" t="s">
        <v>30</v>
      </c>
      <c r="I414" s="7">
        <v>45897.454981793984</v>
      </c>
      <c r="J414" s="7">
        <v>45913.551340046295</v>
      </c>
      <c r="K414" s="1" t="s">
        <v>31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60.0" customHeight="1">
      <c r="A415" s="1" t="s">
        <v>2121</v>
      </c>
      <c r="B415" s="1" t="s">
        <v>2122</v>
      </c>
      <c r="C415" s="2" t="s">
        <v>2123</v>
      </c>
      <c r="D415" s="5" t="str">
        <f>IMAGE("https://drive.google.com/uc?export=view&amp;id=17DEFht5BMWNQEysYlUVP-CHkcLGZB6YV",2)</f>
        <v/>
      </c>
      <c r="E415" s="5" t="str">
        <f>IMAGE("https://drive.google.com/uc?export=view&amp;id=17DEFht5BMWNQEysYlUVP-CHkcLGZB6YV",1)</f>
        <v/>
      </c>
      <c r="F415" s="6" t="s">
        <v>2124</v>
      </c>
      <c r="G415" s="6" t="s">
        <v>2125</v>
      </c>
      <c r="H415" s="1" t="s">
        <v>30</v>
      </c>
      <c r="I415" s="7">
        <v>45897.4548349074</v>
      </c>
      <c r="J415" s="7">
        <v>45913.55116722222</v>
      </c>
      <c r="K415" s="1" t="s">
        <v>31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60.0" customHeight="1">
      <c r="A416" s="1" t="s">
        <v>2126</v>
      </c>
      <c r="B416" s="1" t="s">
        <v>2127</v>
      </c>
      <c r="C416" s="2" t="s">
        <v>2128</v>
      </c>
      <c r="D416" s="5" t="str">
        <f>IMAGE("https://drive.google.com/uc?export=view&amp;id=1Y-Is5m3cOCOjjmuE4b68ioe8QuQVsvFu",2)</f>
        <v/>
      </c>
      <c r="E416" s="5" t="str">
        <f>IMAGE("https://drive.google.com/uc?export=view&amp;id=1Y-Is5m3cOCOjjmuE4b68ioe8QuQVsvFu",1)</f>
        <v/>
      </c>
      <c r="F416" s="6" t="s">
        <v>2129</v>
      </c>
      <c r="G416" s="6" t="s">
        <v>2130</v>
      </c>
      <c r="H416" s="1" t="s">
        <v>820</v>
      </c>
      <c r="I416" s="7">
        <v>46017.51857231482</v>
      </c>
      <c r="J416" s="7">
        <v>46011.89182870371</v>
      </c>
      <c r="K416" s="1" t="s">
        <v>821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60.0" customHeight="1">
      <c r="A417" s="1" t="s">
        <v>2131</v>
      </c>
      <c r="B417" s="1" t="s">
        <v>2132</v>
      </c>
      <c r="C417" s="2" t="s">
        <v>2133</v>
      </c>
      <c r="D417" s="5" t="str">
        <f>IMAGE("https://drive.google.com/uc?export=view&amp;id=1025oaDBNJTWj_E-SN1xsP-R6Y6g2FVzo",2)</f>
        <v/>
      </c>
      <c r="E417" s="5" t="str">
        <f>IMAGE("https://drive.google.com/uc?export=view&amp;id=1025oaDBNJTWj_E-SN1xsP-R6Y6g2FVzo",1)</f>
        <v/>
      </c>
      <c r="F417" s="6" t="s">
        <v>2134</v>
      </c>
      <c r="G417" s="6" t="s">
        <v>2135</v>
      </c>
      <c r="H417" s="1" t="s">
        <v>114</v>
      </c>
      <c r="I417" s="7">
        <v>45828.54769861111</v>
      </c>
      <c r="J417" s="7">
        <v>45857.04575662037</v>
      </c>
      <c r="K417" s="1" t="s">
        <v>115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60.0" customHeight="1">
      <c r="A418" s="1" t="s">
        <v>2136</v>
      </c>
      <c r="B418" s="1" t="s">
        <v>2137</v>
      </c>
      <c r="C418" s="2" t="s">
        <v>2138</v>
      </c>
      <c r="D418" s="5" t="str">
        <f>IMAGE("https://drive.google.com/uc?export=view&amp;id=1nsASTedU9qIlRnk17tSl6FCf75WzEtaJ",2)</f>
        <v/>
      </c>
      <c r="E418" s="5" t="str">
        <f>IMAGE("https://drive.google.com/uc?export=view&amp;id=1nsASTedU9qIlRnk17tSl6FCf75WzEtaJ",1)</f>
        <v/>
      </c>
      <c r="F418" s="6" t="s">
        <v>2139</v>
      </c>
      <c r="G418" s="6" t="s">
        <v>2140</v>
      </c>
      <c r="H418" s="1" t="s">
        <v>114</v>
      </c>
      <c r="I418" s="7">
        <v>45933.45944730324</v>
      </c>
      <c r="J418" s="7">
        <v>45933.459673888894</v>
      </c>
      <c r="K418" s="1" t="s">
        <v>115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60.0" customHeight="1">
      <c r="A419" s="1" t="s">
        <v>2141</v>
      </c>
      <c r="B419" s="1" t="s">
        <v>2142</v>
      </c>
      <c r="C419" s="2" t="s">
        <v>2143</v>
      </c>
      <c r="D419" s="5" t="str">
        <f>IMAGE("https://drive.google.com/uc?export=view&amp;id=1qJ0F2oTsjQlyCcxMcGKVZt4ChI73g1zU",2)</f>
        <v/>
      </c>
      <c r="E419" s="5" t="str">
        <f>IMAGE("https://drive.google.com/uc?export=view&amp;id=1qJ0F2oTsjQlyCcxMcGKVZt4ChI73g1zU",1)</f>
        <v/>
      </c>
      <c r="F419" s="6" t="s">
        <v>2144</v>
      </c>
      <c r="G419" s="6" t="s">
        <v>2145</v>
      </c>
      <c r="H419" s="1" t="s">
        <v>92</v>
      </c>
      <c r="I419" s="7">
        <v>45841.518718900465</v>
      </c>
      <c r="J419" s="7">
        <v>45860.70360881944</v>
      </c>
      <c r="K419" s="1" t="s">
        <v>93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60.0" customHeight="1">
      <c r="A420" s="1" t="s">
        <v>2146</v>
      </c>
      <c r="B420" s="1" t="s">
        <v>2147</v>
      </c>
      <c r="C420" s="2" t="s">
        <v>2148</v>
      </c>
      <c r="D420" s="5" t="str">
        <f>IMAGE("https://drive.google.com/uc?export=view&amp;id=1EgwgjxNQapdogQApJlRtyYGAq85jUkch",2)</f>
        <v/>
      </c>
      <c r="E420" s="5" t="str">
        <f>IMAGE("https://drive.google.com/uc?export=view&amp;id=1EgwgjxNQapdogQApJlRtyYGAq85jUkch",1)</f>
        <v/>
      </c>
      <c r="F420" s="6" t="s">
        <v>2149</v>
      </c>
      <c r="G420" s="6" t="s">
        <v>2150</v>
      </c>
      <c r="H420" s="1" t="s">
        <v>16</v>
      </c>
      <c r="I420" s="7">
        <v>45890.70379712963</v>
      </c>
      <c r="J420" s="7">
        <v>45923.71155400463</v>
      </c>
      <c r="K420" s="1" t="s">
        <v>17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60.0" customHeight="1">
      <c r="A421" s="1" t="s">
        <v>2151</v>
      </c>
      <c r="B421" s="1" t="s">
        <v>2152</v>
      </c>
      <c r="C421" s="2" t="s">
        <v>2153</v>
      </c>
      <c r="D421" s="5" t="str">
        <f>IMAGE("https://drive.google.com/uc?export=view&amp;id=1U-ET8Nz2lfMUv1-ivWRSyZHCfObR3thU",2)</f>
        <v/>
      </c>
      <c r="E421" s="5" t="str">
        <f>IMAGE("https://drive.google.com/uc?export=view&amp;id=1U-ET8Nz2lfMUv1-ivWRSyZHCfObR3thU",1)</f>
        <v/>
      </c>
      <c r="F421" s="6" t="s">
        <v>2154</v>
      </c>
      <c r="G421" s="6" t="s">
        <v>2155</v>
      </c>
      <c r="H421" s="1" t="s">
        <v>23</v>
      </c>
      <c r="I421" s="7">
        <v>45898.58391079861</v>
      </c>
      <c r="J421" s="7">
        <v>45898.57770833334</v>
      </c>
      <c r="K421" s="1" t="s">
        <v>24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60.0" customHeight="1">
      <c r="A422" s="1" t="s">
        <v>2156</v>
      </c>
      <c r="B422" s="1" t="s">
        <v>2157</v>
      </c>
      <c r="C422" s="2" t="s">
        <v>2158</v>
      </c>
      <c r="D422" s="5" t="str">
        <f>IMAGE("https://drive.google.com/uc?export=view&amp;id=1z-ULPidVWb4JIReW49j8ZnY3giYUBHvD",2)</f>
        <v/>
      </c>
      <c r="E422" s="5" t="str">
        <f>IMAGE("https://drive.google.com/uc?export=view&amp;id=1z-ULPidVWb4JIReW49j8ZnY3giYUBHvD",1)</f>
        <v/>
      </c>
      <c r="F422" s="6" t="s">
        <v>2159</v>
      </c>
      <c r="G422" s="6" t="s">
        <v>2160</v>
      </c>
      <c r="H422" s="1" t="s">
        <v>128</v>
      </c>
      <c r="I422" s="7">
        <v>46017.493424444445</v>
      </c>
      <c r="J422" s="7">
        <v>46012.038611111115</v>
      </c>
      <c r="K422" s="1" t="s">
        <v>129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60.0" customHeight="1">
      <c r="A423" s="1" t="s">
        <v>2161</v>
      </c>
      <c r="B423" s="1" t="s">
        <v>2162</v>
      </c>
      <c r="C423" s="2" t="s">
        <v>2163</v>
      </c>
      <c r="D423" s="5" t="str">
        <f>IMAGE("https://drive.google.com/uc?export=view&amp;id=1GYBjwxfB_x7PAXEp1yXefW_DdE0JbuiX",2)</f>
        <v/>
      </c>
      <c r="E423" s="5" t="str">
        <f>IMAGE("https://drive.google.com/uc?export=view&amp;id=1GYBjwxfB_x7PAXEp1yXefW_DdE0JbuiX",1)</f>
        <v/>
      </c>
      <c r="F423" s="6" t="s">
        <v>2164</v>
      </c>
      <c r="G423" s="6" t="s">
        <v>2165</v>
      </c>
      <c r="H423" s="1" t="s">
        <v>128</v>
      </c>
      <c r="I423" s="7">
        <v>45792.40055453704</v>
      </c>
      <c r="J423" s="7">
        <v>45857.062373078705</v>
      </c>
      <c r="K423" s="1" t="s">
        <v>129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60.0" customHeight="1">
      <c r="A424" s="1" t="s">
        <v>2166</v>
      </c>
      <c r="B424" s="1" t="s">
        <v>2167</v>
      </c>
      <c r="C424" s="2" t="s">
        <v>2168</v>
      </c>
      <c r="D424" s="5" t="str">
        <f>IMAGE("https://drive.google.com/uc?export=view&amp;id=1ptqb6f34pKRzCR_iF5uvxC9MsKqjrZBI",2)</f>
        <v/>
      </c>
      <c r="E424" s="5" t="str">
        <f>IMAGE("https://drive.google.com/uc?export=view&amp;id=1ptqb6f34pKRzCR_iF5uvxC9MsKqjrZBI",1)</f>
        <v/>
      </c>
      <c r="F424" s="6" t="s">
        <v>2169</v>
      </c>
      <c r="G424" s="6" t="s">
        <v>2170</v>
      </c>
      <c r="H424" s="1" t="s">
        <v>16</v>
      </c>
      <c r="I424" s="7">
        <v>45887.5004155787</v>
      </c>
      <c r="J424" s="7">
        <v>45890.47036032408</v>
      </c>
      <c r="K424" s="1" t="s">
        <v>17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60.0" customHeight="1">
      <c r="A425" s="1" t="s">
        <v>2171</v>
      </c>
      <c r="B425" s="1" t="s">
        <v>2172</v>
      </c>
      <c r="C425" s="2" t="s">
        <v>2173</v>
      </c>
      <c r="D425" s="5" t="str">
        <f>IMAGE("https://drive.google.com/uc?export=view&amp;id=1ZrgF3zBY4f7KJtCxxoK6MAjvz3KsBOZR",2)</f>
        <v/>
      </c>
      <c r="E425" s="5" t="str">
        <f>IMAGE("https://drive.google.com/uc?export=view&amp;id=1ZrgF3zBY4f7KJtCxxoK6MAjvz3KsBOZR",1)</f>
        <v/>
      </c>
      <c r="F425" s="6" t="s">
        <v>2174</v>
      </c>
      <c r="G425" s="6" t="s">
        <v>2175</v>
      </c>
      <c r="H425" s="1" t="s">
        <v>23</v>
      </c>
      <c r="I425" s="7">
        <v>45898.583968437495</v>
      </c>
      <c r="J425" s="7">
        <v>45898.57770833334</v>
      </c>
      <c r="K425" s="1" t="s">
        <v>24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60.0" customHeight="1">
      <c r="A426" s="1" t="s">
        <v>2176</v>
      </c>
      <c r="B426" s="1" t="s">
        <v>2177</v>
      </c>
      <c r="C426" s="2" t="s">
        <v>2178</v>
      </c>
      <c r="D426" s="5" t="str">
        <f>IMAGE("https://drive.google.com/uc?export=view&amp;id=1BNlfHCaPwDHKMkavwufM5HsvZafukTIo",2)</f>
        <v/>
      </c>
      <c r="E426" s="5" t="str">
        <f>IMAGE("https://drive.google.com/uc?export=view&amp;id=1BNlfHCaPwDHKMkavwufM5HsvZafukTIo",1)</f>
        <v/>
      </c>
      <c r="F426" s="6" t="s">
        <v>2179</v>
      </c>
      <c r="G426" s="6" t="s">
        <v>2180</v>
      </c>
      <c r="H426" s="1" t="s">
        <v>16</v>
      </c>
      <c r="I426" s="7">
        <v>45887.4988102662</v>
      </c>
      <c r="J426" s="7">
        <v>45890.4597575</v>
      </c>
      <c r="K426" s="1" t="s">
        <v>17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60.0" customHeight="1">
      <c r="A427" s="1" t="s">
        <v>2181</v>
      </c>
      <c r="B427" s="1" t="s">
        <v>2182</v>
      </c>
      <c r="C427" s="2" t="s">
        <v>2183</v>
      </c>
      <c r="D427" s="5" t="str">
        <f>IMAGE("https://drive.google.com/uc?export=view&amp;id=1zBrj-AdocN7rWBgCbtZznE7Pl-FDmT6G",2)</f>
        <v/>
      </c>
      <c r="E427" s="5" t="str">
        <f>IMAGE("https://drive.google.com/uc?export=view&amp;id=1zBrj-AdocN7rWBgCbtZznE7Pl-FDmT6G",1)</f>
        <v/>
      </c>
      <c r="F427" s="6" t="s">
        <v>2184</v>
      </c>
      <c r="G427" s="6" t="s">
        <v>2185</v>
      </c>
      <c r="H427" s="1" t="s">
        <v>23</v>
      </c>
      <c r="I427" s="7">
        <v>45898.58383422454</v>
      </c>
      <c r="J427" s="7">
        <v>45898.57771990741</v>
      </c>
      <c r="K427" s="1" t="s">
        <v>24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60.0" customHeight="1">
      <c r="A428" s="1" t="s">
        <v>2186</v>
      </c>
      <c r="B428" s="1" t="s">
        <v>2187</v>
      </c>
      <c r="C428" s="2" t="s">
        <v>2188</v>
      </c>
      <c r="D428" s="5" t="str">
        <f>IMAGE("https://drive.google.com/uc?export=view&amp;id=1r-XVooowrDQ5fhu-QsSc0sHbztebcgcn",2)</f>
        <v/>
      </c>
      <c r="E428" s="5" t="str">
        <f>IMAGE("https://drive.google.com/uc?export=view&amp;id=1r-XVooowrDQ5fhu-QsSc0sHbztebcgcn",1)</f>
        <v/>
      </c>
      <c r="F428" s="6" t="s">
        <v>2189</v>
      </c>
      <c r="G428" s="6" t="s">
        <v>2190</v>
      </c>
      <c r="H428" s="1" t="s">
        <v>30</v>
      </c>
      <c r="I428" s="7">
        <v>45913.54731980324</v>
      </c>
      <c r="J428" s="7">
        <v>45913.54231481481</v>
      </c>
      <c r="K428" s="1" t="s">
        <v>31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60.0" customHeight="1">
      <c r="A429" s="1" t="s">
        <v>2191</v>
      </c>
      <c r="B429" s="1" t="s">
        <v>2192</v>
      </c>
      <c r="C429" s="2" t="s">
        <v>2193</v>
      </c>
      <c r="D429" s="5" t="str">
        <f>IMAGE("https://drive.google.com/uc?export=view&amp;id=1A23LKrfF81cvyCXKLWn2bFvtYZDzNeuh",2)</f>
        <v/>
      </c>
      <c r="E429" s="5" t="str">
        <f>IMAGE("https://drive.google.com/uc?export=view&amp;id=1A23LKrfF81cvyCXKLWn2bFvtYZDzNeuh",1)</f>
        <v/>
      </c>
      <c r="F429" s="6" t="s">
        <v>2194</v>
      </c>
      <c r="G429" s="6" t="s">
        <v>2195</v>
      </c>
      <c r="H429" s="1" t="s">
        <v>16</v>
      </c>
      <c r="I429" s="7">
        <v>45875.06929747685</v>
      </c>
      <c r="J429" s="7">
        <v>45890.45991769676</v>
      </c>
      <c r="K429" s="1" t="s">
        <v>17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60.0" customHeight="1">
      <c r="A430" s="1" t="s">
        <v>2196</v>
      </c>
      <c r="B430" s="1" t="s">
        <v>2197</v>
      </c>
      <c r="C430" s="2" t="s">
        <v>2198</v>
      </c>
      <c r="D430" s="5" t="str">
        <f>IMAGE("https://drive.google.com/uc?export=view&amp;id=1mN7_a9OXor7rkAAeZGvg-ocVb1LFNk3-",2)</f>
        <v/>
      </c>
      <c r="E430" s="5" t="str">
        <f>IMAGE("https://drive.google.com/uc?export=view&amp;id=1mN7_a9OXor7rkAAeZGvg-ocVb1LFNk3-",1)</f>
        <v/>
      </c>
      <c r="F430" s="6" t="s">
        <v>2199</v>
      </c>
      <c r="G430" s="6" t="s">
        <v>2200</v>
      </c>
      <c r="H430" s="1" t="s">
        <v>23</v>
      </c>
      <c r="I430" s="7">
        <v>45898.58383422454</v>
      </c>
      <c r="J430" s="7">
        <v>45898.57771990741</v>
      </c>
      <c r="K430" s="1" t="s">
        <v>24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60.0" customHeight="1">
      <c r="A431" s="1" t="s">
        <v>2201</v>
      </c>
      <c r="B431" s="1" t="s">
        <v>2202</v>
      </c>
      <c r="C431" s="2" t="s">
        <v>2203</v>
      </c>
      <c r="D431" s="5" t="str">
        <f>IMAGE("https://drive.google.com/uc?export=view&amp;id=1KLBuPZ8NzoI8iE_hU5DLX5Z_gA5bOiPZ",2)</f>
        <v/>
      </c>
      <c r="E431" s="5" t="str">
        <f>IMAGE("https://drive.google.com/uc?export=view&amp;id=1KLBuPZ8NzoI8iE_hU5DLX5Z_gA5bOiPZ",1)</f>
        <v/>
      </c>
      <c r="F431" s="6" t="s">
        <v>2204</v>
      </c>
      <c r="G431" s="6" t="s">
        <v>2205</v>
      </c>
      <c r="H431" s="1" t="s">
        <v>16</v>
      </c>
      <c r="I431" s="7">
        <v>45878.45041310185</v>
      </c>
      <c r="J431" s="7">
        <v>45890.46009570602</v>
      </c>
      <c r="K431" s="1" t="s">
        <v>17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60.0" customHeight="1">
      <c r="A432" s="1" t="s">
        <v>2206</v>
      </c>
      <c r="B432" s="1" t="s">
        <v>2207</v>
      </c>
      <c r="C432" s="2" t="s">
        <v>2208</v>
      </c>
      <c r="D432" s="5" t="str">
        <f>IMAGE("https://drive.google.com/uc?export=view&amp;id=1gmqA1DnsaWUArnu3hqmlZ2sLM6ZQ5_ne",2)</f>
        <v/>
      </c>
      <c r="E432" s="5" t="str">
        <f>IMAGE("https://drive.google.com/uc?export=view&amp;id=1gmqA1DnsaWUArnu3hqmlZ2sLM6ZQ5_ne",1)</f>
        <v/>
      </c>
      <c r="F432" s="6" t="s">
        <v>2209</v>
      </c>
      <c r="G432" s="6" t="s">
        <v>2210</v>
      </c>
      <c r="H432" s="1" t="s">
        <v>23</v>
      </c>
      <c r="I432" s="7">
        <v>45898.58383422454</v>
      </c>
      <c r="J432" s="7">
        <v>45898.57771990741</v>
      </c>
      <c r="K432" s="1" t="s">
        <v>24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60.0" customHeight="1">
      <c r="A433" s="1" t="s">
        <v>2211</v>
      </c>
      <c r="B433" s="1" t="s">
        <v>2212</v>
      </c>
      <c r="C433" s="2" t="s">
        <v>2213</v>
      </c>
      <c r="D433" s="5" t="str">
        <f>IMAGE("https://drive.google.com/uc?export=view&amp;id=1DkmOjOB01doVpQaHUYkdpJPWtDMk3768",2)</f>
        <v/>
      </c>
      <c r="E433" s="5" t="str">
        <f>IMAGE("https://drive.google.com/uc?export=view&amp;id=1DkmOjOB01doVpQaHUYkdpJPWtDMk3768",1)</f>
        <v/>
      </c>
      <c r="F433" s="6" t="s">
        <v>2214</v>
      </c>
      <c r="G433" s="6" t="s">
        <v>2215</v>
      </c>
      <c r="H433" s="1" t="s">
        <v>16</v>
      </c>
      <c r="I433" s="7">
        <v>45873.510992766205</v>
      </c>
      <c r="J433" s="7">
        <v>45890.46023383102</v>
      </c>
      <c r="K433" s="1" t="s">
        <v>17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60.0" customHeight="1">
      <c r="A434" s="1" t="s">
        <v>2216</v>
      </c>
      <c r="B434" s="1" t="s">
        <v>2217</v>
      </c>
      <c r="C434" s="2" t="s">
        <v>2218</v>
      </c>
      <c r="D434" s="5" t="str">
        <f>IMAGE("https://drive.google.com/uc?export=view&amp;id=1PHfOE5QG2UJajjVAZwqECKWJv_DMbAFM",2)</f>
        <v/>
      </c>
      <c r="E434" s="5" t="str">
        <f>IMAGE("https://drive.google.com/uc?export=view&amp;id=1PHfOE5QG2UJajjVAZwqECKWJv_DMbAFM",1)</f>
        <v/>
      </c>
      <c r="F434" s="6" t="s">
        <v>2219</v>
      </c>
      <c r="G434" s="6" t="s">
        <v>2220</v>
      </c>
      <c r="H434" s="1" t="s">
        <v>23</v>
      </c>
      <c r="I434" s="7">
        <v>45898.583861666666</v>
      </c>
      <c r="J434" s="7">
        <v>45898.57771990741</v>
      </c>
      <c r="K434" s="1" t="s">
        <v>24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60.0" customHeight="1">
      <c r="A435" s="1" t="s">
        <v>2221</v>
      </c>
      <c r="B435" s="1" t="s">
        <v>2222</v>
      </c>
      <c r="C435" s="2" t="s">
        <v>2223</v>
      </c>
      <c r="D435" s="5" t="str">
        <f>IMAGE("https://drive.google.com/uc?export=view&amp;id=1a8MbYosX38kOn4oHtPtWawb_JlF3LYob",2)</f>
        <v/>
      </c>
      <c r="E435" s="5" t="str">
        <f>IMAGE("https://drive.google.com/uc?export=view&amp;id=1a8MbYosX38kOn4oHtPtWawb_JlF3LYob",1)</f>
        <v/>
      </c>
      <c r="F435" s="6" t="s">
        <v>2224</v>
      </c>
      <c r="G435" s="6" t="s">
        <v>2225</v>
      </c>
      <c r="H435" s="1" t="s">
        <v>128</v>
      </c>
      <c r="I435" s="7">
        <v>45869.562362048615</v>
      </c>
      <c r="J435" s="7">
        <v>45869.56242011574</v>
      </c>
      <c r="K435" s="1" t="s">
        <v>129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60.0" customHeight="1">
      <c r="A436" s="1" t="s">
        <v>2226</v>
      </c>
      <c r="B436" s="1" t="s">
        <v>2227</v>
      </c>
      <c r="C436" s="2" t="s">
        <v>2228</v>
      </c>
      <c r="D436" s="5" t="str">
        <f>IMAGE("https://drive.google.com/uc?export=view&amp;id=1dLhp2nFjZ03FCkL1MrC2jLfcQBr0t5B_",2)</f>
        <v/>
      </c>
      <c r="E436" s="5" t="str">
        <f>IMAGE("https://drive.google.com/uc?export=view&amp;id=1dLhp2nFjZ03FCkL1MrC2jLfcQBr0t5B_",1)</f>
        <v/>
      </c>
      <c r="F436" s="6" t="s">
        <v>2229</v>
      </c>
      <c r="G436" s="6" t="s">
        <v>2230</v>
      </c>
      <c r="H436" s="1" t="s">
        <v>16</v>
      </c>
      <c r="I436" s="7">
        <v>45890.45472232639</v>
      </c>
      <c r="J436" s="7">
        <v>45889.01804398149</v>
      </c>
      <c r="K436" s="1" t="s">
        <v>17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60.0" customHeight="1">
      <c r="A437" s="1" t="s">
        <v>2231</v>
      </c>
      <c r="B437" s="1" t="s">
        <v>2232</v>
      </c>
      <c r="C437" s="2" t="s">
        <v>2233</v>
      </c>
      <c r="D437" s="5" t="str">
        <f>IMAGE("https://drive.google.com/uc?export=view&amp;id=149EdrackUP1VfYqgXfeuyZwRXZsI2IRM",2)</f>
        <v/>
      </c>
      <c r="E437" s="5" t="str">
        <f>IMAGE("https://drive.google.com/uc?export=view&amp;id=149EdrackUP1VfYqgXfeuyZwRXZsI2IRM",1)</f>
        <v/>
      </c>
      <c r="F437" s="6" t="s">
        <v>2234</v>
      </c>
      <c r="G437" s="6" t="s">
        <v>2235</v>
      </c>
      <c r="H437" s="1" t="s">
        <v>23</v>
      </c>
      <c r="I437" s="7">
        <v>45898.583830601856</v>
      </c>
      <c r="J437" s="7">
        <v>45898.57771990741</v>
      </c>
      <c r="K437" s="1" t="s">
        <v>24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60.0" customHeight="1">
      <c r="A438" s="1" t="s">
        <v>2236</v>
      </c>
      <c r="B438" s="1" t="s">
        <v>2237</v>
      </c>
      <c r="C438" s="2" t="s">
        <v>2238</v>
      </c>
      <c r="D438" s="5" t="str">
        <f>IMAGE("https://drive.google.com/uc?export=view&amp;id=1i_ysQROdbMZsUBw9k6osyxL82vUQXt1r",2)</f>
        <v/>
      </c>
      <c r="E438" s="5" t="str">
        <f>IMAGE("https://drive.google.com/uc?export=view&amp;id=1i_ysQROdbMZsUBw9k6osyxL82vUQXt1r",1)</f>
        <v/>
      </c>
      <c r="F438" s="6" t="s">
        <v>2239</v>
      </c>
      <c r="G438" s="6" t="s">
        <v>2240</v>
      </c>
      <c r="H438" s="1" t="s">
        <v>114</v>
      </c>
      <c r="I438" s="7">
        <v>45860.69429912037</v>
      </c>
      <c r="J438" s="7">
        <v>45862.50309039352</v>
      </c>
      <c r="K438" s="1" t="s">
        <v>115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60.0" customHeight="1">
      <c r="A439" s="1" t="s">
        <v>2241</v>
      </c>
      <c r="B439" s="1" t="s">
        <v>2242</v>
      </c>
      <c r="C439" s="2" t="s">
        <v>2243</v>
      </c>
      <c r="D439" s="5" t="str">
        <f>IMAGE("https://drive.google.com/uc?export=view&amp;id=1glOrwGnqD8fV-rjvdOp8ZwUOshs6cPa_",2)</f>
        <v/>
      </c>
      <c r="E439" s="5" t="str">
        <f>IMAGE("https://drive.google.com/uc?export=view&amp;id=1glOrwGnqD8fV-rjvdOp8ZwUOshs6cPa_",1)</f>
        <v/>
      </c>
      <c r="F439" s="6" t="s">
        <v>2244</v>
      </c>
      <c r="G439" s="6" t="s">
        <v>2245</v>
      </c>
      <c r="H439" s="1" t="s">
        <v>353</v>
      </c>
      <c r="I439" s="7">
        <v>45828.54795680556</v>
      </c>
      <c r="J439" s="7">
        <v>45860.70373915509</v>
      </c>
      <c r="K439" s="1" t="s">
        <v>354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60.0" customHeight="1">
      <c r="A440" s="1" t="s">
        <v>2246</v>
      </c>
      <c r="B440" s="1" t="s">
        <v>2247</v>
      </c>
      <c r="C440" s="2" t="s">
        <v>2248</v>
      </c>
      <c r="D440" s="5" t="str">
        <f>IMAGE("https://drive.google.com/uc?export=view&amp;id=1KRyyZmXlPn0jCkHtyJGuVfna0adYYwA6",2)</f>
        <v/>
      </c>
      <c r="E440" s="5" t="str">
        <f>IMAGE("https://drive.google.com/uc?export=view&amp;id=1KRyyZmXlPn0jCkHtyJGuVfna0adYYwA6",1)</f>
        <v/>
      </c>
      <c r="F440" s="6" t="s">
        <v>2249</v>
      </c>
      <c r="G440" s="6" t="s">
        <v>2250</v>
      </c>
      <c r="H440" s="1" t="s">
        <v>16</v>
      </c>
      <c r="I440" s="7">
        <v>45872.78187398148</v>
      </c>
      <c r="J440" s="7">
        <v>45890.46041476852</v>
      </c>
      <c r="K440" s="1" t="s">
        <v>17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60.0" customHeight="1">
      <c r="A441" s="1" t="s">
        <v>2251</v>
      </c>
      <c r="B441" s="1" t="s">
        <v>2252</v>
      </c>
      <c r="C441" s="2" t="s">
        <v>2253</v>
      </c>
      <c r="D441" s="5" t="str">
        <f>IMAGE("https://drive.google.com/uc?export=view&amp;id=1Y0o1YTRwPsDwiBIXY9JhNuHkNyoQmXyF",2)</f>
        <v/>
      </c>
      <c r="E441" s="5" t="str">
        <f>IMAGE("https://drive.google.com/uc?export=view&amp;id=1Y0o1YTRwPsDwiBIXY9JhNuHkNyoQmXyF",1)</f>
        <v/>
      </c>
      <c r="F441" s="6" t="s">
        <v>2254</v>
      </c>
      <c r="G441" s="6" t="s">
        <v>2255</v>
      </c>
      <c r="H441" s="1" t="s">
        <v>23</v>
      </c>
      <c r="I441" s="7">
        <v>45898.58385083333</v>
      </c>
      <c r="J441" s="7">
        <v>45898.57771990741</v>
      </c>
      <c r="K441" s="1" t="s">
        <v>24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60.0" customHeight="1">
      <c r="A442" s="1" t="s">
        <v>2256</v>
      </c>
      <c r="B442" s="1" t="s">
        <v>2257</v>
      </c>
      <c r="C442" s="2" t="s">
        <v>2258</v>
      </c>
      <c r="D442" s="5" t="str">
        <f>IMAGE("https://drive.google.com/uc?export=view&amp;id=1kBu0523Bkw8KmZ8DUMUFphM8QBYjbRNa",2)</f>
        <v/>
      </c>
      <c r="E442" s="5" t="str">
        <f>IMAGE("https://drive.google.com/uc?export=view&amp;id=1kBu0523Bkw8KmZ8DUMUFphM8QBYjbRNa",1)</f>
        <v/>
      </c>
      <c r="F442" s="6" t="s">
        <v>2259</v>
      </c>
      <c r="G442" s="6" t="s">
        <v>2260</v>
      </c>
      <c r="H442" s="1" t="s">
        <v>114</v>
      </c>
      <c r="I442" s="7">
        <v>45828.55105217593</v>
      </c>
      <c r="J442" s="7">
        <v>45857.04564099537</v>
      </c>
      <c r="K442" s="1" t="s">
        <v>115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60.0" customHeight="1">
      <c r="A443" s="1" t="s">
        <v>2261</v>
      </c>
      <c r="B443" s="1" t="s">
        <v>2262</v>
      </c>
      <c r="C443" s="2" t="s">
        <v>2263</v>
      </c>
      <c r="D443" s="5" t="str">
        <f>IMAGE("https://drive.google.com/uc?export=view&amp;id=1_E1ub-MRsCTTcW4alCeSUNxtkaKUooqH",2)</f>
        <v/>
      </c>
      <c r="E443" s="5" t="str">
        <f>IMAGE("https://drive.google.com/uc?export=view&amp;id=1_E1ub-MRsCTTcW4alCeSUNxtkaKUooqH",1)</f>
        <v/>
      </c>
      <c r="F443" s="6" t="s">
        <v>2264</v>
      </c>
      <c r="G443" s="6" t="s">
        <v>2265</v>
      </c>
      <c r="H443" s="1" t="s">
        <v>114</v>
      </c>
      <c r="I443" s="7">
        <v>45828.54811315972</v>
      </c>
      <c r="J443" s="7">
        <v>45860.703900312496</v>
      </c>
      <c r="K443" s="1" t="s">
        <v>115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60.0" customHeight="1">
      <c r="A444" s="1" t="s">
        <v>2266</v>
      </c>
      <c r="B444" s="1" t="s">
        <v>2267</v>
      </c>
      <c r="C444" s="2" t="s">
        <v>2268</v>
      </c>
      <c r="D444" s="5" t="str">
        <f>IMAGE("https://drive.google.com/uc?export=view&amp;id=1NmLnCrGTtt3JrIrJIo2YML3aJGnEIr3_",2)</f>
        <v/>
      </c>
      <c r="E444" s="5" t="str">
        <f>IMAGE("https://drive.google.com/uc?export=view&amp;id=1NmLnCrGTtt3JrIrJIo2YML3aJGnEIr3_",1)</f>
        <v/>
      </c>
      <c r="F444" s="6" t="s">
        <v>2269</v>
      </c>
      <c r="G444" s="6" t="s">
        <v>2270</v>
      </c>
      <c r="H444" s="1" t="s">
        <v>353</v>
      </c>
      <c r="I444" s="7">
        <v>45828.54825194445</v>
      </c>
      <c r="J444" s="7">
        <v>45857.04560216435</v>
      </c>
      <c r="K444" s="1" t="s">
        <v>354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60.0" customHeight="1">
      <c r="A445" s="1" t="s">
        <v>2271</v>
      </c>
      <c r="B445" s="1" t="s">
        <v>2272</v>
      </c>
      <c r="C445" s="2" t="s">
        <v>2273</v>
      </c>
      <c r="D445" s="5" t="str">
        <f>IMAGE("https://drive.google.com/uc?export=view&amp;id=1tNWZ1Xl3lhIGdPsyRjCInbCxR0oDqxd6",2)</f>
        <v/>
      </c>
      <c r="E445" s="5" t="str">
        <f>IMAGE("https://drive.google.com/uc?export=view&amp;id=1tNWZ1Xl3lhIGdPsyRjCInbCxR0oDqxd6",1)</f>
        <v/>
      </c>
      <c r="F445" s="6" t="s">
        <v>2274</v>
      </c>
      <c r="G445" s="6" t="s">
        <v>2275</v>
      </c>
      <c r="H445" s="1" t="s">
        <v>353</v>
      </c>
      <c r="I445" s="7">
        <v>46005.61897247685</v>
      </c>
      <c r="J445" s="7">
        <v>46005.61853009259</v>
      </c>
      <c r="K445" s="1" t="s">
        <v>354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60.0" customHeight="1">
      <c r="A446" s="1" t="s">
        <v>2276</v>
      </c>
      <c r="B446" s="1" t="s">
        <v>2277</v>
      </c>
      <c r="C446" s="2" t="s">
        <v>2278</v>
      </c>
      <c r="D446" s="5" t="str">
        <f>IMAGE("https://drive.google.com/uc?export=view&amp;id=1z4VS_JOIH8DXClHBVYH-iSN7aM2nS75i",2)</f>
        <v/>
      </c>
      <c r="E446" s="5" t="str">
        <f>IMAGE("https://drive.google.com/uc?export=view&amp;id=1z4VS_JOIH8DXClHBVYH-iSN7aM2nS75i",1)</f>
        <v/>
      </c>
      <c r="F446" s="6" t="s">
        <v>2279</v>
      </c>
      <c r="G446" s="6" t="s">
        <v>2280</v>
      </c>
      <c r="H446" s="1" t="s">
        <v>353</v>
      </c>
      <c r="I446" s="7">
        <v>45864.54384063657</v>
      </c>
      <c r="J446" s="7">
        <v>45864.54300925926</v>
      </c>
      <c r="K446" s="1" t="s">
        <v>354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60.0" customHeight="1">
      <c r="A447" s="1" t="s">
        <v>2281</v>
      </c>
      <c r="B447" s="1" t="s">
        <v>2282</v>
      </c>
      <c r="C447" s="2" t="s">
        <v>2283</v>
      </c>
      <c r="D447" s="5" t="str">
        <f>IMAGE("https://drive.google.com/uc?export=view&amp;id=13MZUiU9QCVHy9RsjBb7HVG7hj6697sub",2)</f>
        <v/>
      </c>
      <c r="E447" s="5" t="str">
        <f>IMAGE("https://drive.google.com/uc?export=view&amp;id=13MZUiU9QCVHy9RsjBb7HVG7hj6697sub",1)</f>
        <v/>
      </c>
      <c r="F447" s="6" t="s">
        <v>2284</v>
      </c>
      <c r="G447" s="6" t="s">
        <v>2285</v>
      </c>
      <c r="H447" s="1" t="s">
        <v>16</v>
      </c>
      <c r="I447" s="7">
        <v>45873.509732962964</v>
      </c>
      <c r="J447" s="7">
        <v>45878.63796898148</v>
      </c>
      <c r="K447" s="1" t="s">
        <v>17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60.0" customHeight="1">
      <c r="A448" s="1" t="s">
        <v>2286</v>
      </c>
      <c r="B448" s="1" t="s">
        <v>2287</v>
      </c>
      <c r="C448" s="2" t="s">
        <v>2288</v>
      </c>
      <c r="D448" s="5" t="str">
        <f>IMAGE("https://drive.google.com/uc?export=view&amp;id=1w7VfTt2MTnS7OxwMTVaK700fjO1uP4Sw",2)</f>
        <v/>
      </c>
      <c r="E448" s="5" t="str">
        <f>IMAGE("https://drive.google.com/uc?export=view&amp;id=1w7VfTt2MTnS7OxwMTVaK700fjO1uP4Sw",1)</f>
        <v/>
      </c>
      <c r="F448" s="6" t="s">
        <v>2289</v>
      </c>
      <c r="G448" s="6" t="s">
        <v>2290</v>
      </c>
      <c r="H448" s="1" t="s">
        <v>23</v>
      </c>
      <c r="I448" s="7">
        <v>45898.58388358796</v>
      </c>
      <c r="J448" s="7">
        <v>45898.57771990741</v>
      </c>
      <c r="K448" s="1" t="s">
        <v>24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60.0" customHeight="1">
      <c r="A449" s="1" t="s">
        <v>2291</v>
      </c>
      <c r="B449" s="1" t="s">
        <v>2292</v>
      </c>
      <c r="C449" s="2" t="s">
        <v>2293</v>
      </c>
      <c r="D449" s="5" t="str">
        <f>IMAGE("https://drive.google.com/uc?export=view&amp;id=1QvdlXIW1CReRyJbTzudzGp3eIwuUdh3Q",2)</f>
        <v/>
      </c>
      <c r="E449" s="5" t="str">
        <f>IMAGE("https://drive.google.com/uc?export=view&amp;id=1QvdlXIW1CReRyJbTzudzGp3eIwuUdh3Q",1)</f>
        <v/>
      </c>
      <c r="F449" s="6" t="s">
        <v>2294</v>
      </c>
      <c r="G449" s="6" t="s">
        <v>2295</v>
      </c>
      <c r="H449" s="1" t="s">
        <v>114</v>
      </c>
      <c r="I449" s="7">
        <v>45828.547842500004</v>
      </c>
      <c r="J449" s="7">
        <v>45862.50276747685</v>
      </c>
      <c r="K449" s="1" t="s">
        <v>115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60.0" customHeight="1">
      <c r="A450" s="1" t="s">
        <v>2296</v>
      </c>
      <c r="B450" s="1" t="s">
        <v>2297</v>
      </c>
      <c r="C450" s="2" t="s">
        <v>2298</v>
      </c>
      <c r="D450" s="5" t="str">
        <f>IMAGE("https://drive.google.com/uc?export=view&amp;id=1CbUd22kmCsjgL2ThqwgVgMKYiMzxoexd",2)</f>
        <v/>
      </c>
      <c r="E450" s="5" t="str">
        <f>IMAGE("https://drive.google.com/uc?export=view&amp;id=1CbUd22kmCsjgL2ThqwgVgMKYiMzxoexd",1)</f>
        <v/>
      </c>
      <c r="F450" s="6" t="s">
        <v>2299</v>
      </c>
      <c r="G450" s="6" t="s">
        <v>2300</v>
      </c>
      <c r="H450" s="1" t="s">
        <v>114</v>
      </c>
      <c r="I450" s="7">
        <v>45828.54868748842</v>
      </c>
      <c r="J450" s="7">
        <v>45857.04548667824</v>
      </c>
      <c r="K450" s="1" t="s">
        <v>115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60.0" customHeight="1">
      <c r="A451" s="1" t="s">
        <v>2301</v>
      </c>
      <c r="B451" s="1" t="s">
        <v>2302</v>
      </c>
      <c r="C451" s="2" t="s">
        <v>2303</v>
      </c>
      <c r="D451" s="5" t="str">
        <f>IMAGE("https://drive.google.com/uc?export=view&amp;id=1zc-R-FrC2P4JGBl6egEzahfptssoMjRL",2)</f>
        <v/>
      </c>
      <c r="E451" s="5" t="str">
        <f>IMAGE("https://drive.google.com/uc?export=view&amp;id=1zc-R-FrC2P4JGBl6egEzahfptssoMjRL",1)</f>
        <v/>
      </c>
      <c r="F451" s="6" t="s">
        <v>2304</v>
      </c>
      <c r="G451" s="6" t="s">
        <v>2305</v>
      </c>
      <c r="H451" s="1" t="s">
        <v>177</v>
      </c>
      <c r="I451" s="7">
        <v>45948.90984359954</v>
      </c>
      <c r="J451" s="7">
        <v>45948.910218564815</v>
      </c>
      <c r="K451" s="1" t="s">
        <v>178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60.0" customHeight="1">
      <c r="A452" s="1" t="s">
        <v>2306</v>
      </c>
      <c r="B452" s="1" t="s">
        <v>2307</v>
      </c>
      <c r="C452" s="2" t="s">
        <v>2308</v>
      </c>
      <c r="D452" s="5" t="str">
        <f>IMAGE("https://drive.google.com/uc?export=view&amp;id=1WbwisamXYCOjqIkpIhKp1NVqd_--N99b",2)</f>
        <v/>
      </c>
      <c r="E452" s="5" t="str">
        <f>IMAGE("https://drive.google.com/uc?export=view&amp;id=1WbwisamXYCOjqIkpIhKp1NVqd_--N99b",1)</f>
        <v/>
      </c>
      <c r="F452" s="6" t="s">
        <v>2309</v>
      </c>
      <c r="G452" s="6" t="s">
        <v>2310</v>
      </c>
      <c r="H452" s="1" t="s">
        <v>135</v>
      </c>
      <c r="I452" s="7">
        <v>46059.94578086806</v>
      </c>
      <c r="J452" s="7">
        <v>46060.38301173611</v>
      </c>
      <c r="K452" s="1" t="s">
        <v>136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60.0" customHeight="1">
      <c r="A453" s="1" t="s">
        <v>2311</v>
      </c>
      <c r="B453" s="1" t="s">
        <v>2312</v>
      </c>
      <c r="C453" s="2" t="s">
        <v>2313</v>
      </c>
      <c r="D453" s="5" t="str">
        <f>IMAGE("https://drive.google.com/uc?export=view&amp;id=1xgGDHbPpXT_zE4MinyIT5qQutwgONSzH",2)</f>
        <v/>
      </c>
      <c r="E453" s="5" t="str">
        <f>IMAGE("https://drive.google.com/uc?export=view&amp;id=1xgGDHbPpXT_zE4MinyIT5qQutwgONSzH",1)</f>
        <v/>
      </c>
      <c r="F453" s="6" t="s">
        <v>2314</v>
      </c>
      <c r="G453" s="6" t="s">
        <v>2315</v>
      </c>
      <c r="H453" s="1" t="s">
        <v>30</v>
      </c>
      <c r="I453" s="7">
        <v>45913.5451067824</v>
      </c>
      <c r="J453" s="7">
        <v>45902.627858796295</v>
      </c>
      <c r="K453" s="1" t="s">
        <v>31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60.0" customHeight="1">
      <c r="A454" s="1" t="s">
        <v>2316</v>
      </c>
      <c r="B454" s="1" t="s">
        <v>2317</v>
      </c>
      <c r="C454" s="2" t="s">
        <v>2318</v>
      </c>
      <c r="D454" s="5" t="str">
        <f>IMAGE("https://drive.google.com/uc?export=view&amp;id=1MXJPC0hpcdKs1icWImlNfy_8W_B-ocmr",2)</f>
        <v/>
      </c>
      <c r="E454" s="5" t="str">
        <f>IMAGE("https://drive.google.com/uc?export=view&amp;id=1MXJPC0hpcdKs1icWImlNfy_8W_B-ocmr",1)</f>
        <v/>
      </c>
      <c r="F454" s="6" t="s">
        <v>2319</v>
      </c>
      <c r="G454" s="6" t="s">
        <v>2320</v>
      </c>
      <c r="H454" s="1" t="s">
        <v>135</v>
      </c>
      <c r="I454" s="7">
        <v>46060.64504722222</v>
      </c>
      <c r="J454" s="7">
        <v>46060.636712962965</v>
      </c>
      <c r="K454" s="1" t="s">
        <v>136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60.0" customHeight="1">
      <c r="A455" s="1" t="s">
        <v>2321</v>
      </c>
      <c r="B455" s="1" t="s">
        <v>2322</v>
      </c>
      <c r="C455" s="2" t="s">
        <v>2323</v>
      </c>
      <c r="D455" s="5" t="str">
        <f>IMAGE("https://drive.google.com/uc?export=view&amp;id=18OnWHfoTFMjmMICIL2ylYVdIs4F3wonr",2)</f>
        <v/>
      </c>
      <c r="E455" s="5" t="str">
        <f>IMAGE("https://drive.google.com/uc?export=view&amp;id=18OnWHfoTFMjmMICIL2ylYVdIs4F3wonr",1)</f>
        <v/>
      </c>
      <c r="F455" s="6" t="s">
        <v>2324</v>
      </c>
      <c r="G455" s="6" t="s">
        <v>2325</v>
      </c>
      <c r="H455" s="1" t="s">
        <v>30</v>
      </c>
      <c r="I455" s="7">
        <v>45913.54529546296</v>
      </c>
      <c r="J455" s="7">
        <v>45904.688935185186</v>
      </c>
      <c r="K455" s="1" t="s">
        <v>31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60.0" customHeight="1">
      <c r="A456" s="1" t="s">
        <v>2326</v>
      </c>
      <c r="B456" s="1" t="s">
        <v>2327</v>
      </c>
      <c r="C456" s="2" t="s">
        <v>2328</v>
      </c>
      <c r="D456" s="5" t="str">
        <f>IMAGE("https://drive.google.com/uc?export=view&amp;id=1kI-JQ7BRuuZ0qy7LFN_bqNFnNSJKXX2l",2)</f>
        <v/>
      </c>
      <c r="E456" s="5" t="str">
        <f>IMAGE("https://drive.google.com/uc?export=view&amp;id=1kI-JQ7BRuuZ0qy7LFN_bqNFnNSJKXX2l",1)</f>
        <v/>
      </c>
      <c r="F456" s="6" t="s">
        <v>2329</v>
      </c>
      <c r="G456" s="6" t="s">
        <v>2330</v>
      </c>
      <c r="H456" s="1" t="s">
        <v>92</v>
      </c>
      <c r="I456" s="7">
        <v>46005.81598741898</v>
      </c>
      <c r="J456" s="7">
        <v>46005.81322916667</v>
      </c>
      <c r="K456" s="1" t="s">
        <v>93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60.0" customHeight="1">
      <c r="A457" s="1" t="s">
        <v>2331</v>
      </c>
      <c r="B457" s="1" t="s">
        <v>2332</v>
      </c>
      <c r="C457" s="2" t="s">
        <v>2333</v>
      </c>
      <c r="D457" s="5" t="str">
        <f>IMAGE("https://drive.google.com/uc?export=view&amp;id=1x4bCvEfqQ_YSWTZQYQO73M-SPhPpUCTu",2)</f>
        <v/>
      </c>
      <c r="E457" s="5" t="str">
        <f>IMAGE("https://drive.google.com/uc?export=view&amp;id=1x4bCvEfqQ_YSWTZQYQO73M-SPhPpUCTu",1)</f>
        <v/>
      </c>
      <c r="F457" s="6" t="s">
        <v>2334</v>
      </c>
      <c r="G457" s="6" t="s">
        <v>2335</v>
      </c>
      <c r="H457" s="1" t="s">
        <v>30</v>
      </c>
      <c r="I457" s="7">
        <v>45913.54546311343</v>
      </c>
      <c r="J457" s="7">
        <v>45909.69265046297</v>
      </c>
      <c r="K457" s="1" t="s">
        <v>31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60.0" customHeight="1">
      <c r="A458" s="1" t="s">
        <v>2336</v>
      </c>
      <c r="B458" s="1" t="s">
        <v>2337</v>
      </c>
      <c r="C458" s="2" t="s">
        <v>2338</v>
      </c>
      <c r="D458" s="5" t="str">
        <f>IMAGE("https://drive.google.com/uc?export=view&amp;id=1NxdecZQ-AS1BUzteKgk8-6gyD0LCgqYd",2)</f>
        <v/>
      </c>
      <c r="E458" s="5" t="str">
        <f>IMAGE("https://drive.google.com/uc?export=view&amp;id=1NxdecZQ-AS1BUzteKgk8-6gyD0LCgqYd",1)</f>
        <v/>
      </c>
      <c r="F458" s="6" t="s">
        <v>2339</v>
      </c>
      <c r="G458" s="6" t="s">
        <v>2340</v>
      </c>
      <c r="H458" s="1" t="s">
        <v>16</v>
      </c>
      <c r="I458" s="7">
        <v>45890.45485350695</v>
      </c>
      <c r="J458" s="7">
        <v>45890.59201241898</v>
      </c>
      <c r="K458" s="1" t="s">
        <v>17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60.0" customHeight="1">
      <c r="A459" s="1" t="s">
        <v>2341</v>
      </c>
      <c r="B459" s="1" t="s">
        <v>2342</v>
      </c>
      <c r="C459" s="2" t="s">
        <v>2343</v>
      </c>
      <c r="D459" s="5" t="str">
        <f>IMAGE("https://drive.google.com/uc?export=view&amp;id=1-eg8IHqyP-oWTUUgxIJMDImPUFA3VzXi",2)</f>
        <v/>
      </c>
      <c r="E459" s="5" t="str">
        <f>IMAGE("https://drive.google.com/uc?export=view&amp;id=1-eg8IHqyP-oWTUUgxIJMDImPUFA3VzXi",1)</f>
        <v/>
      </c>
      <c r="F459" s="6" t="s">
        <v>2344</v>
      </c>
      <c r="G459" s="6" t="s">
        <v>2345</v>
      </c>
      <c r="H459" s="1" t="s">
        <v>23</v>
      </c>
      <c r="I459" s="7">
        <v>45898.58389988426</v>
      </c>
      <c r="J459" s="7">
        <v>45898.57771990741</v>
      </c>
      <c r="K459" s="1" t="s">
        <v>24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60.0" customHeight="1">
      <c r="A460" s="1" t="s">
        <v>2346</v>
      </c>
      <c r="B460" s="1" t="s">
        <v>2347</v>
      </c>
      <c r="C460" s="2" t="s">
        <v>2348</v>
      </c>
      <c r="D460" s="5" t="str">
        <f>IMAGE("https://drive.google.com/uc?export=view&amp;id=1l7jSws-F3WhYK4TJLHwPDeeQZ7z-YeUl",2)</f>
        <v/>
      </c>
      <c r="E460" s="5" t="str">
        <f>IMAGE("https://drive.google.com/uc?export=view&amp;id=1l7jSws-F3WhYK4TJLHwPDeeQZ7z-YeUl",1)</f>
        <v/>
      </c>
      <c r="F460" s="6" t="s">
        <v>2349</v>
      </c>
      <c r="G460" s="6" t="s">
        <v>2350</v>
      </c>
      <c r="H460" s="1" t="s">
        <v>16</v>
      </c>
      <c r="I460" s="7">
        <v>46104.47436945602</v>
      </c>
      <c r="J460" s="7">
        <v>46104.47346064815</v>
      </c>
      <c r="K460" s="1" t="s">
        <v>17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60.0" customHeight="1">
      <c r="A461" s="1" t="s">
        <v>2351</v>
      </c>
      <c r="B461" s="1" t="s">
        <v>2352</v>
      </c>
      <c r="C461" s="2" t="s">
        <v>2353</v>
      </c>
      <c r="D461" s="5" t="str">
        <f>IMAGE("https://drive.google.com/uc?export=view&amp;id=1lT7TXEumt4vwNSWlJHv-rQlP7AmR4ej5",2)</f>
        <v/>
      </c>
      <c r="E461" s="5" t="str">
        <f>IMAGE("https://drive.google.com/uc?export=view&amp;id=1lT7TXEumt4vwNSWlJHv-rQlP7AmR4ej5",1)</f>
        <v/>
      </c>
      <c r="F461" s="6" t="s">
        <v>2354</v>
      </c>
      <c r="G461" s="6" t="s">
        <v>2355</v>
      </c>
      <c r="H461" s="1" t="s">
        <v>128</v>
      </c>
      <c r="I461" s="7">
        <v>45792.4008727662</v>
      </c>
      <c r="J461" s="7">
        <v>45860.70422392361</v>
      </c>
      <c r="K461" s="1" t="s">
        <v>129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60.0" customHeight="1">
      <c r="A462" s="1" t="s">
        <v>2356</v>
      </c>
      <c r="B462" s="1" t="s">
        <v>2357</v>
      </c>
      <c r="C462" s="2" t="s">
        <v>2358</v>
      </c>
      <c r="D462" s="5" t="str">
        <f>IMAGE("https://drive.google.com/uc?export=view&amp;id=1S-fOqI_m41G5YNReShxiy7ZOBhuapthk",2)</f>
        <v/>
      </c>
      <c r="E462" s="5" t="str">
        <f>IMAGE("https://drive.google.com/uc?export=view&amp;id=1S-fOqI_m41G5YNReShxiy7ZOBhuapthk",1)</f>
        <v/>
      </c>
      <c r="F462" s="6" t="s">
        <v>2359</v>
      </c>
      <c r="G462" s="6" t="s">
        <v>2360</v>
      </c>
      <c r="H462" s="1" t="s">
        <v>16</v>
      </c>
      <c r="I462" s="7">
        <v>45869.49072395833</v>
      </c>
      <c r="J462" s="7">
        <v>45869.4908334838</v>
      </c>
      <c r="K462" s="1" t="s">
        <v>57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60.0" customHeight="1">
      <c r="A463" s="1" t="s">
        <v>2361</v>
      </c>
      <c r="B463" s="1" t="s">
        <v>2362</v>
      </c>
      <c r="C463" s="2" t="s">
        <v>2363</v>
      </c>
      <c r="D463" s="5" t="str">
        <f>IMAGE("https://drive.google.com/uc?export=view&amp;id=1wiqKTVAnlXMEAPMApWTta1FG0p-W04ki",2)</f>
        <v/>
      </c>
      <c r="E463" s="5" t="str">
        <f>IMAGE("https://drive.google.com/uc?export=view&amp;id=1wiqKTVAnlXMEAPMApWTta1FG0p-W04ki",1)</f>
        <v/>
      </c>
      <c r="F463" s="6" t="s">
        <v>2364</v>
      </c>
      <c r="G463" s="6" t="s">
        <v>2365</v>
      </c>
      <c r="H463" s="1" t="s">
        <v>427</v>
      </c>
      <c r="I463" s="7">
        <v>46069.91629645834</v>
      </c>
      <c r="J463" s="7">
        <v>46068.93216435185</v>
      </c>
      <c r="K463" s="1" t="s">
        <v>428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60.0" customHeight="1">
      <c r="A464" s="1" t="s">
        <v>2366</v>
      </c>
      <c r="B464" s="1" t="s">
        <v>2367</v>
      </c>
      <c r="C464" s="2" t="s">
        <v>2368</v>
      </c>
      <c r="D464" s="5" t="str">
        <f>IMAGE("https://drive.google.com/uc?export=view&amp;id=1VhX-hTs3dPv8VXNFg4l7bYfMq8fXnNdp",2)</f>
        <v/>
      </c>
      <c r="E464" s="5" t="str">
        <f>IMAGE("https://drive.google.com/uc?export=view&amp;id=1VhX-hTs3dPv8VXNFg4l7bYfMq8fXnNdp",1)</f>
        <v/>
      </c>
      <c r="F464" s="6" t="s">
        <v>2369</v>
      </c>
      <c r="G464" s="6" t="s">
        <v>2370</v>
      </c>
      <c r="H464" s="1" t="s">
        <v>304</v>
      </c>
      <c r="I464" s="7">
        <v>45860.696024398145</v>
      </c>
      <c r="J464" s="7">
        <v>45924.571997430554</v>
      </c>
      <c r="K464" s="1" t="s">
        <v>305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60.0" customHeight="1">
      <c r="A465" s="1" t="s">
        <v>2371</v>
      </c>
      <c r="B465" s="1" t="s">
        <v>2372</v>
      </c>
      <c r="C465" s="2" t="s">
        <v>2373</v>
      </c>
      <c r="D465" s="5" t="str">
        <f>IMAGE("https://drive.google.com/uc?export=view&amp;id=1saa31k6jkLDZB5oBspG3smmdjNZFqE1-",2)</f>
        <v/>
      </c>
      <c r="E465" s="5" t="str">
        <f>IMAGE("https://drive.google.com/uc?export=view&amp;id=1saa31k6jkLDZB5oBspG3smmdjNZFqE1-",1)</f>
        <v/>
      </c>
      <c r="F465" s="6" t="s">
        <v>2374</v>
      </c>
      <c r="G465" s="6" t="s">
        <v>2375</v>
      </c>
      <c r="H465" s="1" t="s">
        <v>92</v>
      </c>
      <c r="I465" s="7">
        <v>46005.93849586806</v>
      </c>
      <c r="J465" s="7">
        <v>46005.907997685186</v>
      </c>
      <c r="K465" s="1" t="s">
        <v>93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60.0" customHeight="1">
      <c r="A466" s="1" t="s">
        <v>2376</v>
      </c>
      <c r="B466" s="1" t="s">
        <v>2377</v>
      </c>
      <c r="C466" s="2" t="s">
        <v>2378</v>
      </c>
      <c r="D466" s="5" t="str">
        <f>IMAGE("https://drive.google.com/uc?export=view&amp;id=1SiGz51S9uA6SemaywcrKX9bj_EYxzwaf",2)</f>
        <v/>
      </c>
      <c r="E466" s="5" t="str">
        <f>IMAGE("https://drive.google.com/uc?export=view&amp;id=1SiGz51S9uA6SemaywcrKX9bj_EYxzwaf",1)</f>
        <v/>
      </c>
      <c r="F466" s="6" t="s">
        <v>2379</v>
      </c>
      <c r="G466" s="6" t="s">
        <v>2380</v>
      </c>
      <c r="H466" s="1" t="s">
        <v>128</v>
      </c>
      <c r="I466" s="7">
        <v>46017.493668483796</v>
      </c>
      <c r="J466" s="7">
        <v>46011.447604166664</v>
      </c>
      <c r="K466" s="1" t="s">
        <v>129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60.0" customHeight="1">
      <c r="A467" s="1" t="s">
        <v>2381</v>
      </c>
      <c r="B467" s="1" t="s">
        <v>2382</v>
      </c>
      <c r="C467" s="2" t="s">
        <v>2383</v>
      </c>
      <c r="D467" s="5" t="str">
        <f>IMAGE("https://drive.google.com/uc?export=view&amp;id=1phUBNQIfnUm4En0r2yL8mfpVDCV4mUln",2)</f>
        <v/>
      </c>
      <c r="E467" s="5" t="str">
        <f>IMAGE("https://drive.google.com/uc?export=view&amp;id=1phUBNQIfnUm4En0r2yL8mfpVDCV4mUln",1)</f>
        <v/>
      </c>
      <c r="F467" s="6" t="s">
        <v>2384</v>
      </c>
      <c r="G467" s="6" t="s">
        <v>2385</v>
      </c>
      <c r="H467" s="1" t="s">
        <v>70</v>
      </c>
      <c r="I467" s="7">
        <v>45868.75330674768</v>
      </c>
      <c r="J467" s="7">
        <v>45868.75344324074</v>
      </c>
      <c r="K467" s="1" t="s">
        <v>71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60.0" customHeight="1">
      <c r="A468" s="1" t="s">
        <v>2386</v>
      </c>
      <c r="B468" s="1" t="s">
        <v>2387</v>
      </c>
      <c r="C468" s="2" t="s">
        <v>2388</v>
      </c>
      <c r="D468" s="5" t="str">
        <f>IMAGE("https://drive.google.com/uc?export=view&amp;id=1NA91jC0qRT0Yh0oGRsE3DPnWdY6v4L3r",2)</f>
        <v/>
      </c>
      <c r="E468" s="5" t="str">
        <f>IMAGE("https://drive.google.com/uc?export=view&amp;id=1NA91jC0qRT0Yh0oGRsE3DPnWdY6v4L3r",1)</f>
        <v/>
      </c>
      <c r="F468" s="6" t="s">
        <v>2389</v>
      </c>
      <c r="G468" s="6" t="s">
        <v>2390</v>
      </c>
      <c r="H468" s="1" t="s">
        <v>353</v>
      </c>
      <c r="I468" s="7">
        <v>45828.54883005787</v>
      </c>
      <c r="J468" s="7">
        <v>45857.04744393518</v>
      </c>
      <c r="K468" s="1" t="s">
        <v>354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60.0" customHeight="1">
      <c r="A469" s="1" t="s">
        <v>2391</v>
      </c>
      <c r="B469" s="1" t="s">
        <v>2392</v>
      </c>
      <c r="C469" s="2" t="s">
        <v>2393</v>
      </c>
      <c r="D469" s="5" t="str">
        <f>IMAGE("https://drive.google.com/uc?export=view&amp;id=1zv0zojhwyqzdfxGz2sjJyAfr40gz3kbW",2)</f>
        <v/>
      </c>
      <c r="E469" s="5" t="str">
        <f>IMAGE("https://drive.google.com/uc?export=view&amp;id=1zv0zojhwyqzdfxGz2sjJyAfr40gz3kbW",1)</f>
        <v/>
      </c>
      <c r="F469" s="6" t="s">
        <v>2394</v>
      </c>
      <c r="G469" s="6" t="s">
        <v>2395</v>
      </c>
      <c r="H469" s="1" t="s">
        <v>353</v>
      </c>
      <c r="I469" s="7">
        <v>45828.54897696759</v>
      </c>
      <c r="J469" s="7">
        <v>45860.70438386574</v>
      </c>
      <c r="K469" s="1" t="s">
        <v>354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60.0" customHeight="1">
      <c r="A470" s="1" t="s">
        <v>2396</v>
      </c>
      <c r="B470" s="1" t="s">
        <v>2397</v>
      </c>
      <c r="C470" s="2" t="s">
        <v>2398</v>
      </c>
      <c r="D470" s="5" t="str">
        <f>IMAGE("https://drive.google.com/uc?export=view&amp;id=1LXa0uRVWHeWXKR0aUY9m5jlzW_V8xQc9",2)</f>
        <v/>
      </c>
      <c r="E470" s="5" t="str">
        <f>IMAGE("https://drive.google.com/uc?export=view&amp;id=1LXa0uRVWHeWXKR0aUY9m5jlzW_V8xQc9",1)</f>
        <v/>
      </c>
      <c r="F470" s="6" t="s">
        <v>2399</v>
      </c>
      <c r="G470" s="6" t="s">
        <v>2400</v>
      </c>
      <c r="H470" s="1" t="s">
        <v>353</v>
      </c>
      <c r="I470" s="7">
        <v>45828.54911666666</v>
      </c>
      <c r="J470" s="7">
        <v>45857.04542511574</v>
      </c>
      <c r="K470" s="1" t="s">
        <v>354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60.0" customHeight="1">
      <c r="A471" s="1" t="s">
        <v>2401</v>
      </c>
      <c r="B471" s="1" t="s">
        <v>2402</v>
      </c>
      <c r="C471" s="2" t="s">
        <v>2403</v>
      </c>
      <c r="D471" s="5" t="str">
        <f>IMAGE("https://drive.google.com/uc?export=view&amp;id=1hM9JpwWGKr-B5oOoo9kQmNN5Cc-UVbed",2)</f>
        <v/>
      </c>
      <c r="E471" s="5" t="str">
        <f>IMAGE("https://drive.google.com/uc?export=view&amp;id=1hM9JpwWGKr-B5oOoo9kQmNN5Cc-UVbed",1)</f>
        <v/>
      </c>
      <c r="F471" s="6" t="s">
        <v>2404</v>
      </c>
      <c r="G471" s="6" t="s">
        <v>2405</v>
      </c>
      <c r="H471" s="1" t="s">
        <v>353</v>
      </c>
      <c r="I471" s="7">
        <v>45889.77706283565</v>
      </c>
      <c r="J471" s="7">
        <v>45889.7798727662</v>
      </c>
      <c r="K471" s="1" t="s">
        <v>354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60.0" customHeight="1">
      <c r="A472" s="1" t="s">
        <v>2406</v>
      </c>
      <c r="B472" s="1" t="s">
        <v>2407</v>
      </c>
      <c r="C472" s="2" t="s">
        <v>2408</v>
      </c>
      <c r="D472" s="5" t="str">
        <f>IMAGE("https://drive.google.com/uc?export=view&amp;id=1NenEi32986ScJHYRIqEVwPpk0GsMiEv2",2)</f>
        <v/>
      </c>
      <c r="E472" s="5" t="str">
        <f>IMAGE("https://drive.google.com/uc?export=view&amp;id=1NenEi32986ScJHYRIqEVwPpk0GsMiEv2",1)</f>
        <v/>
      </c>
      <c r="F472" s="6" t="s">
        <v>2409</v>
      </c>
      <c r="G472" s="6" t="s">
        <v>2410</v>
      </c>
      <c r="H472" s="1" t="s">
        <v>114</v>
      </c>
      <c r="I472" s="7">
        <v>45828.549232060184</v>
      </c>
      <c r="J472" s="7">
        <v>45860.70451114583</v>
      </c>
      <c r="K472" s="1" t="s">
        <v>115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60.0" customHeight="1">
      <c r="A473" s="1" t="s">
        <v>2411</v>
      </c>
      <c r="B473" s="1" t="s">
        <v>2412</v>
      </c>
      <c r="C473" s="2" t="s">
        <v>2413</v>
      </c>
      <c r="D473" s="5" t="str">
        <f>IMAGE("https://drive.google.com/uc?export=view&amp;id=1dNqRxufn_zbgmy_ZPbLKzFTtZGhpFAoA",2)</f>
        <v/>
      </c>
      <c r="E473" s="5" t="str">
        <f>IMAGE("https://drive.google.com/uc?export=view&amp;id=1dNqRxufn_zbgmy_ZPbLKzFTtZGhpFAoA",1)</f>
        <v/>
      </c>
      <c r="F473" s="6" t="s">
        <v>2414</v>
      </c>
      <c r="G473" s="6" t="s">
        <v>2415</v>
      </c>
      <c r="H473" s="1" t="s">
        <v>92</v>
      </c>
      <c r="I473" s="7">
        <v>45841.51885133101</v>
      </c>
      <c r="J473" s="7">
        <v>45860.70463313657</v>
      </c>
      <c r="K473" s="1" t="s">
        <v>93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60.0" customHeight="1">
      <c r="A474" s="1" t="s">
        <v>2416</v>
      </c>
      <c r="B474" s="1" t="s">
        <v>2417</v>
      </c>
      <c r="C474" s="2" t="s">
        <v>2418</v>
      </c>
      <c r="D474" s="5" t="str">
        <f>IMAGE("https://drive.google.com/uc?export=view&amp;id=1DqStbTb2OYleZiZ1KkWu6A2BvQybjNMZ",2)</f>
        <v/>
      </c>
      <c r="E474" s="5" t="str">
        <f>IMAGE("https://drive.google.com/uc?export=view&amp;id=1DqStbTb2OYleZiZ1KkWu6A2BvQybjNMZ",1)</f>
        <v/>
      </c>
      <c r="F474" s="6" t="s">
        <v>2419</v>
      </c>
      <c r="G474" s="6" t="s">
        <v>2420</v>
      </c>
      <c r="H474" s="1" t="s">
        <v>92</v>
      </c>
      <c r="I474" s="7">
        <v>45841.518978356486</v>
      </c>
      <c r="J474" s="7">
        <v>45860.70476768518</v>
      </c>
      <c r="K474" s="1" t="s">
        <v>93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60.0" customHeight="1">
      <c r="A475" s="1" t="s">
        <v>2421</v>
      </c>
      <c r="B475" s="1" t="s">
        <v>2422</v>
      </c>
      <c r="C475" s="2" t="s">
        <v>2423</v>
      </c>
      <c r="D475" s="5" t="str">
        <f>IMAGE("https://drive.google.com/uc?export=view&amp;id=1NfPGW8fgvaw9X6oOCuAjVPi-f5iBC_Rb",2)</f>
        <v/>
      </c>
      <c r="E475" s="5" t="str">
        <f>IMAGE("https://drive.google.com/uc?export=view&amp;id=1NfPGW8fgvaw9X6oOCuAjVPi-f5iBC_Rb",1)</f>
        <v/>
      </c>
      <c r="F475" s="6" t="s">
        <v>2424</v>
      </c>
      <c r="G475" s="6" t="s">
        <v>2425</v>
      </c>
      <c r="H475" s="1" t="s">
        <v>114</v>
      </c>
      <c r="I475" s="7">
        <v>45828.54937581018</v>
      </c>
      <c r="J475" s="7">
        <v>45860.70490873842</v>
      </c>
      <c r="K475" s="1" t="s">
        <v>115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60.0" customHeight="1">
      <c r="A476" s="1" t="s">
        <v>2426</v>
      </c>
      <c r="B476" s="1" t="s">
        <v>2427</v>
      </c>
      <c r="C476" s="2" t="s">
        <v>2428</v>
      </c>
      <c r="D476" s="5" t="str">
        <f>IMAGE("https://drive.google.com/uc?export=view&amp;id=167GLm59pI8NOs73uxn8PJQdssoQAOPQn",2)</f>
        <v/>
      </c>
      <c r="E476" s="5" t="str">
        <f>IMAGE("https://drive.google.com/uc?export=view&amp;id=167GLm59pI8NOs73uxn8PJQdssoQAOPQn",1)</f>
        <v/>
      </c>
      <c r="F476" s="6" t="s">
        <v>2429</v>
      </c>
      <c r="G476" s="6" t="s">
        <v>2430</v>
      </c>
      <c r="H476" s="1" t="s">
        <v>114</v>
      </c>
      <c r="I476" s="7">
        <v>45828.54952127315</v>
      </c>
      <c r="J476" s="7">
        <v>45860.70506028935</v>
      </c>
      <c r="K476" s="1" t="s">
        <v>115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60.0" customHeight="1">
      <c r="A477" s="1" t="s">
        <v>2431</v>
      </c>
      <c r="B477" s="1" t="s">
        <v>2432</v>
      </c>
      <c r="C477" s="2" t="s">
        <v>2433</v>
      </c>
      <c r="D477" s="5" t="str">
        <f>IMAGE("https://drive.google.com/uc?export=view&amp;id=1auFaj52X5ZJVvKrTnCctfCqMQEUftPRY",2)</f>
        <v/>
      </c>
      <c r="E477" s="5" t="str">
        <f>IMAGE("https://drive.google.com/uc?export=view&amp;id=1auFaj52X5ZJVvKrTnCctfCqMQEUftPRY",1)</f>
        <v/>
      </c>
      <c r="F477" s="6" t="s">
        <v>2434</v>
      </c>
      <c r="G477" s="6" t="s">
        <v>2435</v>
      </c>
      <c r="H477" s="1" t="s">
        <v>1682</v>
      </c>
      <c r="I477" s="7">
        <v>45933.695420601856</v>
      </c>
      <c r="J477" s="7">
        <v>45933.69548733796</v>
      </c>
      <c r="K477" s="1" t="s">
        <v>1683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60.0" customHeight="1">
      <c r="A478" s="1" t="s">
        <v>2436</v>
      </c>
      <c r="B478" s="1" t="s">
        <v>2437</v>
      </c>
      <c r="C478" s="2" t="s">
        <v>2438</v>
      </c>
      <c r="D478" s="5" t="str">
        <f>IMAGE("https://drive.google.com/uc?export=view&amp;id=1C7yD1F75FmpxNp0PAJrtk9IAqQVpa2Cg",2)</f>
        <v/>
      </c>
      <c r="E478" s="5" t="str">
        <f>IMAGE("https://drive.google.com/uc?export=view&amp;id=1C7yD1F75FmpxNp0PAJrtk9IAqQVpa2Cg",1)</f>
        <v/>
      </c>
      <c r="F478" s="6" t="s">
        <v>2439</v>
      </c>
      <c r="G478" s="6" t="s">
        <v>2440</v>
      </c>
      <c r="H478" s="1" t="s">
        <v>135</v>
      </c>
      <c r="I478" s="7">
        <v>46059.94603424768</v>
      </c>
      <c r="J478" s="7">
        <v>46059.977300810184</v>
      </c>
      <c r="K478" s="1" t="s">
        <v>136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60.0" customHeight="1">
      <c r="A479" s="1" t="s">
        <v>2441</v>
      </c>
      <c r="B479" s="1" t="s">
        <v>2442</v>
      </c>
      <c r="C479" s="2" t="s">
        <v>2443</v>
      </c>
      <c r="D479" s="5" t="str">
        <f>IMAGE("https://drive.google.com/uc?export=view&amp;id=1yu8d9JOreIDK6A05WKSxhvkgjuiANHnE",2)</f>
        <v/>
      </c>
      <c r="E479" s="5" t="str">
        <f>IMAGE("https://drive.google.com/uc?export=view&amp;id=1yu8d9JOreIDK6A05WKSxhvkgjuiANHnE",1)</f>
        <v/>
      </c>
      <c r="F479" s="6" t="s">
        <v>2444</v>
      </c>
      <c r="G479" s="6" t="s">
        <v>2445</v>
      </c>
      <c r="H479" s="1" t="s">
        <v>135</v>
      </c>
      <c r="I479" s="7">
        <v>46060.64503526621</v>
      </c>
      <c r="J479" s="7">
        <v>46060.63403935185</v>
      </c>
      <c r="K479" s="1" t="s">
        <v>136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60.0" customHeight="1">
      <c r="A480" s="1" t="s">
        <v>2446</v>
      </c>
      <c r="B480" s="1" t="s">
        <v>2447</v>
      </c>
      <c r="C480" s="2" t="s">
        <v>2448</v>
      </c>
      <c r="D480" s="5" t="str">
        <f>IMAGE("https://drive.google.com/uc?export=view&amp;id=1us50wsFXYB5mrITkHF_wFTlaBcDrj8SA",2)</f>
        <v/>
      </c>
      <c r="E480" s="5" t="str">
        <f>IMAGE("https://drive.google.com/uc?export=view&amp;id=1us50wsFXYB5mrITkHF_wFTlaBcDrj8SA",1)</f>
        <v/>
      </c>
      <c r="F480" s="6" t="s">
        <v>2449</v>
      </c>
      <c r="G480" s="6" t="s">
        <v>2450</v>
      </c>
      <c r="H480" s="1" t="s">
        <v>16</v>
      </c>
      <c r="I480" s="7">
        <v>45890.4549992824</v>
      </c>
      <c r="J480" s="7">
        <v>45890.42517361111</v>
      </c>
      <c r="K480" s="1" t="s">
        <v>17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60.0" customHeight="1">
      <c r="A481" s="1" t="s">
        <v>2451</v>
      </c>
      <c r="B481" s="1" t="s">
        <v>2452</v>
      </c>
      <c r="C481" s="2" t="s">
        <v>2453</v>
      </c>
      <c r="D481" s="5" t="str">
        <f>IMAGE("https://drive.google.com/uc?export=view&amp;id=1vcHBFVW63EcgwrdFDr-4VSh7OeVUz0SA",2)</f>
        <v/>
      </c>
      <c r="E481" s="5" t="str">
        <f>IMAGE("https://drive.google.com/uc?export=view&amp;id=1vcHBFVW63EcgwrdFDr-4VSh7OeVUz0SA",1)</f>
        <v/>
      </c>
      <c r="F481" s="6" t="s">
        <v>2454</v>
      </c>
      <c r="G481" s="6" t="s">
        <v>2455</v>
      </c>
      <c r="H481" s="1" t="s">
        <v>23</v>
      </c>
      <c r="I481" s="7">
        <v>45898.583892395836</v>
      </c>
      <c r="J481" s="7">
        <v>45898.57771990741</v>
      </c>
      <c r="K481" s="1" t="s">
        <v>24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60.0" customHeight="1">
      <c r="A482" s="1" t="s">
        <v>2456</v>
      </c>
      <c r="B482" s="1" t="s">
        <v>2457</v>
      </c>
      <c r="C482" s="2" t="s">
        <v>2458</v>
      </c>
      <c r="D482" s="5" t="str">
        <f>IMAGE("https://drive.google.com/uc?export=view&amp;id=1BtfMLlIe_g_RDufjy5eLb_OB_HHA2Ve4",2)</f>
        <v/>
      </c>
      <c r="E482" s="5" t="str">
        <f>IMAGE("https://drive.google.com/uc?export=view&amp;id=1BtfMLlIe_g_RDufjy5eLb_OB_HHA2Ve4",1)</f>
        <v/>
      </c>
      <c r="F482" s="6" t="s">
        <v>2459</v>
      </c>
      <c r="G482" s="6" t="s">
        <v>2460</v>
      </c>
      <c r="H482" s="1" t="s">
        <v>128</v>
      </c>
      <c r="I482" s="7">
        <v>45869.5636646875</v>
      </c>
      <c r="J482" s="7">
        <v>45869.57396538195</v>
      </c>
      <c r="K482" s="1" t="s">
        <v>129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60.0" customHeight="1">
      <c r="A483" s="1" t="s">
        <v>2461</v>
      </c>
      <c r="B483" s="1" t="s">
        <v>2462</v>
      </c>
      <c r="C483" s="2" t="s">
        <v>2463</v>
      </c>
      <c r="D483" s="5" t="str">
        <f>IMAGE("https://drive.google.com/uc?export=view&amp;id=1CxNucdgc2VtMS5oxfkmJZ3i0snZwr-h0",2)</f>
        <v/>
      </c>
      <c r="E483" s="5" t="str">
        <f>IMAGE("https://drive.google.com/uc?export=view&amp;id=1CxNucdgc2VtMS5oxfkmJZ3i0snZwr-h0",1)</f>
        <v/>
      </c>
      <c r="F483" s="6" t="s">
        <v>2464</v>
      </c>
      <c r="G483" s="6" t="s">
        <v>2465</v>
      </c>
      <c r="H483" s="1" t="s">
        <v>16</v>
      </c>
      <c r="I483" s="7">
        <v>45890.45513675926</v>
      </c>
      <c r="J483" s="7">
        <v>45888.62297453704</v>
      </c>
      <c r="K483" s="1" t="s">
        <v>17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60.0" customHeight="1">
      <c r="A484" s="1" t="s">
        <v>2466</v>
      </c>
      <c r="B484" s="1" t="s">
        <v>2467</v>
      </c>
      <c r="C484" s="2" t="s">
        <v>2468</v>
      </c>
      <c r="D484" s="5" t="str">
        <f>IMAGE("https://drive.google.com/uc?export=view&amp;id=1NIDybmVDt2bzu8tWYcm2qxOScJwkqbt9",2)</f>
        <v/>
      </c>
      <c r="E484" s="5" t="str">
        <f>IMAGE("https://drive.google.com/uc?export=view&amp;id=1NIDybmVDt2bzu8tWYcm2qxOScJwkqbt9",1)</f>
        <v/>
      </c>
      <c r="F484" s="6" t="s">
        <v>2469</v>
      </c>
      <c r="G484" s="6" t="s">
        <v>2470</v>
      </c>
      <c r="H484" s="1" t="s">
        <v>23</v>
      </c>
      <c r="I484" s="7">
        <v>45898.58391079861</v>
      </c>
      <c r="J484" s="7">
        <v>45898.57771990741</v>
      </c>
      <c r="K484" s="1" t="s">
        <v>24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60.0" customHeight="1">
      <c r="A485" s="1" t="s">
        <v>2471</v>
      </c>
      <c r="B485" s="1" t="s">
        <v>2472</v>
      </c>
      <c r="C485" s="2" t="s">
        <v>2473</v>
      </c>
      <c r="D485" s="5" t="str">
        <f>IMAGE("https://drive.google.com/uc?export=view&amp;id=1Zaaq8irR0ZdZ7aJrdLKdTeTaAHeIrmFg",2)</f>
        <v/>
      </c>
      <c r="E485" s="5" t="str">
        <f>IMAGE("https://drive.google.com/uc?export=view&amp;id=1Zaaq8irR0ZdZ7aJrdLKdTeTaAHeIrmFg",1)</f>
        <v/>
      </c>
      <c r="F485" s="6" t="s">
        <v>2474</v>
      </c>
      <c r="G485" s="6" t="s">
        <v>2475</v>
      </c>
      <c r="H485" s="1" t="s">
        <v>30</v>
      </c>
      <c r="I485" s="7">
        <v>45913.54562055555</v>
      </c>
      <c r="J485" s="7">
        <v>45904.558171296296</v>
      </c>
      <c r="K485" s="1" t="s">
        <v>31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60.0" customHeight="1">
      <c r="A486" s="1" t="s">
        <v>2476</v>
      </c>
      <c r="B486" s="1" t="s">
        <v>2477</v>
      </c>
      <c r="C486" s="2" t="s">
        <v>2478</v>
      </c>
      <c r="D486" s="5" t="str">
        <f>IMAGE("https://drive.google.com/uc?export=view&amp;id=1YPoGSC23liLX7OQTFemOk12gkAvcfoda",2)</f>
        <v/>
      </c>
      <c r="E486" s="5" t="str">
        <f>IMAGE("https://drive.google.com/uc?export=view&amp;id=1YPoGSC23liLX7OQTFemOk12gkAvcfoda",1)</f>
        <v/>
      </c>
      <c r="F486" s="6" t="s">
        <v>2479</v>
      </c>
      <c r="G486" s="6" t="s">
        <v>2480</v>
      </c>
      <c r="H486" s="1" t="s">
        <v>63</v>
      </c>
      <c r="I486" s="7">
        <v>45828.54279716435</v>
      </c>
      <c r="J486" s="7">
        <v>45860.691403055556</v>
      </c>
      <c r="K486" s="1" t="s">
        <v>64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60.0" customHeight="1">
      <c r="A487" s="1" t="s">
        <v>2481</v>
      </c>
      <c r="B487" s="1" t="s">
        <v>2482</v>
      </c>
      <c r="C487" s="2" t="s">
        <v>2483</v>
      </c>
      <c r="D487" s="5" t="str">
        <f>IMAGE("https://drive.google.com/uc?export=view&amp;id=1H7DuTHJNssKJsGKmAUUcRVL_EjqvllJV",2)</f>
        <v/>
      </c>
      <c r="E487" s="5" t="str">
        <f>IMAGE("https://drive.google.com/uc?export=view&amp;id=1H7DuTHJNssKJsGKmAUUcRVL_EjqvllJV",1)</f>
        <v/>
      </c>
      <c r="F487" s="6" t="s">
        <v>2484</v>
      </c>
      <c r="G487" s="6" t="s">
        <v>2485</v>
      </c>
      <c r="H487" s="1" t="s">
        <v>121</v>
      </c>
      <c r="I487" s="7">
        <v>46074.49819371528</v>
      </c>
      <c r="J487" s="7">
        <v>46074.483206018514</v>
      </c>
      <c r="K487" s="1" t="s">
        <v>122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60.0" customHeight="1">
      <c r="A488" s="1" t="s">
        <v>2486</v>
      </c>
      <c r="B488" s="1" t="s">
        <v>2487</v>
      </c>
      <c r="C488" s="2" t="s">
        <v>2488</v>
      </c>
      <c r="D488" s="5" t="str">
        <f>IMAGE("https://drive.google.com/uc?export=view&amp;id=1MA36gZBmepFVyydjCpIqlyQQgRg78v0q",2)</f>
        <v/>
      </c>
      <c r="E488" s="5" t="str">
        <f>IMAGE("https://drive.google.com/uc?export=view&amp;id=1MA36gZBmepFVyydjCpIqlyQQgRg78v0q",1)</f>
        <v/>
      </c>
      <c r="F488" s="6" t="s">
        <v>2489</v>
      </c>
      <c r="G488" s="6" t="s">
        <v>2490</v>
      </c>
      <c r="H488" s="1" t="s">
        <v>63</v>
      </c>
      <c r="I488" s="7">
        <v>45828.54280122685</v>
      </c>
      <c r="J488" s="7">
        <v>45860.69140516204</v>
      </c>
      <c r="K488" s="1" t="s">
        <v>64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60.0" customHeight="1">
      <c r="A489" s="1" t="s">
        <v>2491</v>
      </c>
      <c r="B489" s="1" t="s">
        <v>2492</v>
      </c>
      <c r="C489" s="2" t="s">
        <v>2493</v>
      </c>
      <c r="D489" s="5" t="str">
        <f>IMAGE("https://drive.google.com/uc?export=view&amp;id=1I5fEpTIEZzaLsaJgZxcvkv2L81nUXg1F",2)</f>
        <v/>
      </c>
      <c r="E489" s="5" t="str">
        <f>IMAGE("https://drive.google.com/uc?export=view&amp;id=1I5fEpTIEZzaLsaJgZxcvkv2L81nUXg1F",1)</f>
        <v/>
      </c>
      <c r="F489" s="6" t="s">
        <v>2494</v>
      </c>
      <c r="G489" s="6" t="s">
        <v>2495</v>
      </c>
      <c r="H489" s="1" t="s">
        <v>30</v>
      </c>
      <c r="I489" s="7">
        <v>45913.54580952546</v>
      </c>
      <c r="J489" s="7">
        <v>45897.73064814815</v>
      </c>
      <c r="K489" s="1" t="s">
        <v>31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60.0" customHeight="1">
      <c r="A490" s="1" t="s">
        <v>2496</v>
      </c>
      <c r="B490" s="1" t="s">
        <v>2497</v>
      </c>
      <c r="C490" s="2" t="s">
        <v>2498</v>
      </c>
      <c r="D490" s="5" t="str">
        <f>IMAGE("https://drive.google.com/uc?export=view&amp;id=1Wd_2Vgzy95dcTBTs1c_a9yX3c7Cm01ou",2)</f>
        <v/>
      </c>
      <c r="E490" s="5" t="str">
        <f>IMAGE("https://drive.google.com/uc?export=view&amp;id=1Wd_2Vgzy95dcTBTs1c_a9yX3c7Cm01ou",1)</f>
        <v/>
      </c>
      <c r="F490" s="6" t="s">
        <v>2499</v>
      </c>
      <c r="G490" s="6" t="s">
        <v>2500</v>
      </c>
      <c r="H490" s="1" t="s">
        <v>272</v>
      </c>
      <c r="I490" s="7">
        <v>46078.462118854164</v>
      </c>
      <c r="J490" s="7">
        <v>46077.45177083333</v>
      </c>
      <c r="K490" s="1" t="s">
        <v>273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60.0" customHeight="1">
      <c r="A491" s="1" t="s">
        <v>2501</v>
      </c>
      <c r="B491" s="1" t="s">
        <v>2502</v>
      </c>
      <c r="C491" s="2" t="s">
        <v>2503</v>
      </c>
      <c r="D491" s="5" t="str">
        <f>IMAGE("https://drive.google.com/uc?export=view&amp;id=1mAQ75I5Q_AywE-PvVvI01t4BKZMz9pq1",2)</f>
        <v/>
      </c>
      <c r="E491" s="5" t="str">
        <f>IMAGE("https://drive.google.com/uc?export=view&amp;id=1mAQ75I5Q_AywE-PvVvI01t4BKZMz9pq1",1)</f>
        <v/>
      </c>
      <c r="F491" s="6" t="s">
        <v>2504</v>
      </c>
      <c r="G491" s="6" t="s">
        <v>2505</v>
      </c>
      <c r="H491" s="1" t="s">
        <v>646</v>
      </c>
      <c r="I491" s="7">
        <v>46068.73030520833</v>
      </c>
      <c r="J491" s="7">
        <v>46068.47618055556</v>
      </c>
      <c r="K491" s="1" t="s">
        <v>647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60.0" customHeight="1">
      <c r="A492" s="1" t="s">
        <v>2506</v>
      </c>
      <c r="B492" s="1" t="s">
        <v>2507</v>
      </c>
      <c r="C492" s="2" t="s">
        <v>2508</v>
      </c>
      <c r="D492" s="5" t="str">
        <f>IMAGE("https://drive.google.com/uc?export=view&amp;id=1n0IAOmk6qKU6E6OmICHZ7eMinLG1SKmh",2)</f>
        <v/>
      </c>
      <c r="E492" s="5" t="str">
        <f>IMAGE("https://drive.google.com/uc?export=view&amp;id=1n0IAOmk6qKU6E6OmICHZ7eMinLG1SKmh",1)</f>
        <v/>
      </c>
      <c r="F492" s="6" t="s">
        <v>2509</v>
      </c>
      <c r="G492" s="6" t="s">
        <v>2510</v>
      </c>
      <c r="H492" s="1" t="s">
        <v>16</v>
      </c>
      <c r="I492" s="7">
        <v>46049.65200997685</v>
      </c>
      <c r="J492" s="7">
        <v>46049.04918981482</v>
      </c>
      <c r="K492" s="1" t="s">
        <v>57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60.0" customHeight="1">
      <c r="A493" s="1" t="s">
        <v>2511</v>
      </c>
      <c r="B493" s="1" t="s">
        <v>2512</v>
      </c>
      <c r="C493" s="2" t="s">
        <v>2513</v>
      </c>
      <c r="D493" s="5" t="str">
        <f>IMAGE("https://drive.google.com/uc?export=view&amp;id=1t9x0Fov-O94pjrXGrc15pnycoK6P0nXw",2)</f>
        <v/>
      </c>
      <c r="E493" s="5" t="str">
        <f>IMAGE("https://drive.google.com/uc?export=view&amp;id=1t9x0Fov-O94pjrXGrc15pnycoK6P0nXw",1)</f>
        <v/>
      </c>
      <c r="F493" s="6" t="s">
        <v>2514</v>
      </c>
      <c r="G493" s="6" t="s">
        <v>2515</v>
      </c>
      <c r="H493" s="1" t="s">
        <v>128</v>
      </c>
      <c r="I493" s="7">
        <v>46017.4939540162</v>
      </c>
      <c r="J493" s="7">
        <v>46010.463726851856</v>
      </c>
      <c r="K493" s="1" t="s">
        <v>129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60.0" customHeight="1">
      <c r="A494" s="1" t="s">
        <v>2516</v>
      </c>
      <c r="B494" s="1" t="s">
        <v>2517</v>
      </c>
      <c r="C494" s="2" t="s">
        <v>2518</v>
      </c>
      <c r="D494" s="5" t="str">
        <f>IMAGE("https://drive.google.com/uc?export=view&amp;id=1BHjf3a4o4HkPiM-vIK3BGsP9GRT7sPmv",2)</f>
        <v/>
      </c>
      <c r="E494" s="5" t="str">
        <f>IMAGE("https://drive.google.com/uc?export=view&amp;id=1BHjf3a4o4HkPiM-vIK3BGsP9GRT7sPmv",1)</f>
        <v/>
      </c>
      <c r="F494" s="6" t="s">
        <v>2519</v>
      </c>
      <c r="G494" s="6" t="s">
        <v>2520</v>
      </c>
      <c r="H494" s="1" t="s">
        <v>128</v>
      </c>
      <c r="I494" s="7">
        <v>46017.494273634264</v>
      </c>
      <c r="J494" s="7">
        <v>46010.47456018519</v>
      </c>
      <c r="K494" s="1" t="s">
        <v>129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60.0" customHeight="1">
      <c r="A495" s="1" t="s">
        <v>2521</v>
      </c>
      <c r="B495" s="1" t="s">
        <v>2522</v>
      </c>
      <c r="C495" s="2" t="s">
        <v>2523</v>
      </c>
      <c r="D495" s="5" t="str">
        <f>IMAGE("https://drive.google.com/uc?export=view&amp;id=1CN38-cfD5WZkHcIebcO-wINMCBKoljkJ",2)</f>
        <v/>
      </c>
      <c r="E495" s="5" t="str">
        <f>IMAGE("https://drive.google.com/uc?export=view&amp;id=1CN38-cfD5WZkHcIebcO-wINMCBKoljkJ",1)</f>
        <v/>
      </c>
      <c r="F495" s="6" t="s">
        <v>2524</v>
      </c>
      <c r="G495" s="6" t="s">
        <v>2525</v>
      </c>
      <c r="H495" s="1" t="s">
        <v>16</v>
      </c>
      <c r="I495" s="7">
        <v>45997.507975960645</v>
      </c>
      <c r="J495" s="7">
        <v>45997.50744212963</v>
      </c>
      <c r="K495" s="1" t="s">
        <v>57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60.0" customHeight="1">
      <c r="A496" s="1" t="s">
        <v>2526</v>
      </c>
      <c r="B496" s="1" t="s">
        <v>2527</v>
      </c>
      <c r="C496" s="2" t="s">
        <v>2528</v>
      </c>
      <c r="D496" s="5" t="str">
        <f>IMAGE("https://drive.google.com/uc?export=view&amp;id=1dP_fWpt5OkCcHPyhpKMW2JpfmLLPAgfz",2)</f>
        <v/>
      </c>
      <c r="E496" s="5" t="str">
        <f>IMAGE("https://drive.google.com/uc?export=view&amp;id=1dP_fWpt5OkCcHPyhpKMW2JpfmLLPAgfz",1)</f>
        <v/>
      </c>
      <c r="F496" s="6" t="s">
        <v>2529</v>
      </c>
      <c r="G496" s="6" t="s">
        <v>2530</v>
      </c>
      <c r="H496" s="1" t="s">
        <v>16</v>
      </c>
      <c r="I496" s="7">
        <v>45887.49893086805</v>
      </c>
      <c r="J496" s="7">
        <v>45890.46052787037</v>
      </c>
      <c r="K496" s="1" t="s">
        <v>17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60.0" customHeight="1">
      <c r="A497" s="1" t="s">
        <v>2531</v>
      </c>
      <c r="B497" s="1" t="s">
        <v>2532</v>
      </c>
      <c r="C497" s="2" t="s">
        <v>2533</v>
      </c>
      <c r="D497" s="5" t="str">
        <f>IMAGE("https://drive.google.com/uc?export=view&amp;id=1YM-n7yxGYr6dpRUeGdcIcEo3s_l4JIhg",2)</f>
        <v/>
      </c>
      <c r="E497" s="5" t="str">
        <f>IMAGE("https://drive.google.com/uc?export=view&amp;id=1YM-n7yxGYr6dpRUeGdcIcEo3s_l4JIhg",1)</f>
        <v/>
      </c>
      <c r="F497" s="6" t="s">
        <v>2534</v>
      </c>
      <c r="G497" s="6" t="s">
        <v>2535</v>
      </c>
      <c r="H497" s="1" t="s">
        <v>23</v>
      </c>
      <c r="I497" s="7">
        <v>45898.583781215275</v>
      </c>
      <c r="J497" s="7">
        <v>45898.57773148148</v>
      </c>
      <c r="K497" s="1" t="s">
        <v>24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60.0" customHeight="1">
      <c r="A498" s="1" t="s">
        <v>2536</v>
      </c>
      <c r="B498" s="1" t="s">
        <v>2537</v>
      </c>
      <c r="C498" s="2" t="s">
        <v>2538</v>
      </c>
      <c r="D498" s="5" t="str">
        <f>IMAGE("https://drive.google.com/uc?export=view&amp;id=118IjFZe6cnyZq4WjF1XGOMvOGDXviSUP",2)</f>
        <v/>
      </c>
      <c r="E498" s="5" t="str">
        <f>IMAGE("https://drive.google.com/uc?export=view&amp;id=118IjFZe6cnyZq4WjF1XGOMvOGDXviSUP",1)</f>
        <v/>
      </c>
      <c r="F498" s="6" t="s">
        <v>2539</v>
      </c>
      <c r="G498" s="6" t="s">
        <v>2540</v>
      </c>
      <c r="H498" s="1" t="s">
        <v>70</v>
      </c>
      <c r="I498" s="7">
        <v>45868.74956574074</v>
      </c>
      <c r="J498" s="7">
        <v>45868.74994642361</v>
      </c>
      <c r="K498" s="1" t="s">
        <v>71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60.0" customHeight="1">
      <c r="A499" s="1" t="s">
        <v>2541</v>
      </c>
      <c r="B499" s="1" t="s">
        <v>2542</v>
      </c>
      <c r="C499" s="2" t="s">
        <v>2543</v>
      </c>
      <c r="D499" s="5" t="str">
        <f>IMAGE("https://drive.google.com/uc?export=view&amp;id=1JalMVjqUlbtfH0S8bsWEW31k28fQBVh0",2)</f>
        <v/>
      </c>
      <c r="E499" s="5" t="str">
        <f>IMAGE("https://drive.google.com/uc?export=view&amp;id=1JalMVjqUlbtfH0S8bsWEW31k28fQBVh0",1)</f>
        <v/>
      </c>
      <c r="F499" s="6" t="s">
        <v>2544</v>
      </c>
      <c r="G499" s="6" t="s">
        <v>2545</v>
      </c>
      <c r="H499" s="1" t="s">
        <v>405</v>
      </c>
      <c r="I499" s="7">
        <v>46067.808267789354</v>
      </c>
      <c r="J499" s="7">
        <v>46067.731828703705</v>
      </c>
      <c r="K499" s="1" t="s">
        <v>406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60.0" customHeight="1">
      <c r="A500" s="1" t="s">
        <v>2546</v>
      </c>
      <c r="B500" s="1" t="s">
        <v>2547</v>
      </c>
      <c r="C500" s="2" t="s">
        <v>2548</v>
      </c>
      <c r="D500" s="5" t="str">
        <f>IMAGE("https://drive.google.com/uc?export=view&amp;id=1NYEG8fqrKLKirOGqTHR7WCC7x4-21bde",2)</f>
        <v/>
      </c>
      <c r="E500" s="5" t="str">
        <f>IMAGE("https://drive.google.com/uc?export=view&amp;id=1NYEG8fqrKLKirOGqTHR7WCC7x4-21bde",1)</f>
        <v/>
      </c>
      <c r="F500" s="6" t="s">
        <v>2549</v>
      </c>
      <c r="G500" s="6" t="s">
        <v>2550</v>
      </c>
      <c r="H500" s="1" t="s">
        <v>16</v>
      </c>
      <c r="I500" s="7">
        <v>45887.499077824075</v>
      </c>
      <c r="J500" s="7">
        <v>45890.460671354165</v>
      </c>
      <c r="K500" s="1" t="s">
        <v>17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60.0" customHeight="1">
      <c r="A501" s="1" t="s">
        <v>2551</v>
      </c>
      <c r="B501" s="1" t="s">
        <v>2552</v>
      </c>
      <c r="C501" s="2" t="s">
        <v>2553</v>
      </c>
      <c r="D501" s="5" t="str">
        <f>IMAGE("https://drive.google.com/uc?export=view&amp;id=1sINMJGDfrB2K0jSBhlyOz21jngyhgJTD",2)</f>
        <v/>
      </c>
      <c r="E501" s="5" t="str">
        <f>IMAGE("https://drive.google.com/uc?export=view&amp;id=1sINMJGDfrB2K0jSBhlyOz21jngyhgJTD",1)</f>
        <v/>
      </c>
      <c r="F501" s="6" t="s">
        <v>2554</v>
      </c>
      <c r="G501" s="6" t="s">
        <v>2555</v>
      </c>
      <c r="H501" s="1" t="s">
        <v>23</v>
      </c>
      <c r="I501" s="7">
        <v>45898.58379820602</v>
      </c>
      <c r="J501" s="7">
        <v>45898.57773148148</v>
      </c>
      <c r="K501" s="1" t="s">
        <v>24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60.0" customHeight="1">
      <c r="A502" s="1" t="s">
        <v>2556</v>
      </c>
      <c r="B502" s="1" t="s">
        <v>2557</v>
      </c>
      <c r="C502" s="2" t="s">
        <v>2558</v>
      </c>
      <c r="D502" s="5" t="str">
        <f>IMAGE("https://drive.google.com/uc?export=view&amp;id=1tPNwzKIHfrluxrCPKlpGpqHFNQtdMNs4",2)</f>
        <v/>
      </c>
      <c r="E502" s="5" t="str">
        <f>IMAGE("https://drive.google.com/uc?export=view&amp;id=1tPNwzKIHfrluxrCPKlpGpqHFNQtdMNs4",1)</f>
        <v/>
      </c>
      <c r="F502" s="6" t="s">
        <v>2559</v>
      </c>
      <c r="G502" s="6" t="s">
        <v>2560</v>
      </c>
      <c r="H502" s="1" t="s">
        <v>70</v>
      </c>
      <c r="I502" s="7">
        <v>45888.77781730324</v>
      </c>
      <c r="J502" s="7">
        <v>45888.76421296297</v>
      </c>
      <c r="K502" s="1" t="s">
        <v>71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60.0" customHeight="1">
      <c r="A503" s="1" t="s">
        <v>2561</v>
      </c>
      <c r="B503" s="1" t="s">
        <v>2562</v>
      </c>
      <c r="C503" s="2" t="s">
        <v>2563</v>
      </c>
      <c r="D503" s="5" t="str">
        <f>IMAGE("https://drive.google.com/uc?export=view&amp;id=1l99LFL4u4jg3X_ndm4bQy1dXsMyao2LV",2)</f>
        <v/>
      </c>
      <c r="E503" s="5" t="str">
        <f>IMAGE("https://drive.google.com/uc?export=view&amp;id=1l99LFL4u4jg3X_ndm4bQy1dXsMyao2LV",1)</f>
        <v/>
      </c>
      <c r="F503" s="6" t="s">
        <v>2564</v>
      </c>
      <c r="G503" s="6" t="s">
        <v>2565</v>
      </c>
      <c r="H503" s="1" t="s">
        <v>16</v>
      </c>
      <c r="I503" s="7">
        <v>45890.45526137731</v>
      </c>
      <c r="J503" s="7">
        <v>45888.55275462963</v>
      </c>
      <c r="K503" s="1" t="s">
        <v>17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60.0" customHeight="1">
      <c r="A504" s="1" t="s">
        <v>2566</v>
      </c>
      <c r="B504" s="1" t="s">
        <v>2567</v>
      </c>
      <c r="C504" s="2" t="s">
        <v>2568</v>
      </c>
      <c r="D504" s="5" t="str">
        <f>IMAGE("https://drive.google.com/uc?export=view&amp;id=1QN9_LavK3h-1Ps3R2WmgCdXKuhaH_Y5v",2)</f>
        <v/>
      </c>
      <c r="E504" s="5" t="str">
        <f>IMAGE("https://drive.google.com/uc?export=view&amp;id=1QN9_LavK3h-1Ps3R2WmgCdXKuhaH_Y5v",1)</f>
        <v/>
      </c>
      <c r="F504" s="6" t="s">
        <v>2569</v>
      </c>
      <c r="G504" s="6" t="s">
        <v>2570</v>
      </c>
      <c r="H504" s="1" t="s">
        <v>23</v>
      </c>
      <c r="I504" s="7">
        <v>45898.5837902662</v>
      </c>
      <c r="J504" s="7">
        <v>45898.57773148148</v>
      </c>
      <c r="K504" s="1" t="s">
        <v>24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60.0" customHeight="1">
      <c r="A505" s="1" t="s">
        <v>2571</v>
      </c>
      <c r="B505" s="1" t="s">
        <v>2572</v>
      </c>
      <c r="C505" s="2" t="s">
        <v>2573</v>
      </c>
      <c r="D505" s="5" t="str">
        <f>IMAGE("https://drive.google.com/uc?export=view&amp;id=1CTlQF2I-wwyoHLdLWzOiOnn8gHvn-ftY",2)</f>
        <v/>
      </c>
      <c r="E505" s="5" t="str">
        <f>IMAGE("https://drive.google.com/uc?export=view&amp;id=1CTlQF2I-wwyoHLdLWzOiOnn8gHvn-ftY",1)</f>
        <v/>
      </c>
      <c r="F505" s="6" t="s">
        <v>2574</v>
      </c>
      <c r="G505" s="6" t="s">
        <v>2575</v>
      </c>
      <c r="H505" s="1" t="s">
        <v>63</v>
      </c>
      <c r="I505" s="7">
        <v>45828.5428062037</v>
      </c>
      <c r="J505" s="7">
        <v>45860.691406921294</v>
      </c>
      <c r="K505" s="1" t="s">
        <v>64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60.0" customHeight="1">
      <c r="A506" s="1" t="s">
        <v>2576</v>
      </c>
      <c r="B506" s="1" t="s">
        <v>2577</v>
      </c>
      <c r="C506" s="2" t="s">
        <v>2578</v>
      </c>
      <c r="D506" s="5" t="str">
        <f>IMAGE("https://drive.google.com/uc?export=view&amp;id=15L-UTiztJJi0wZfOVsvzfloZ3moSn8hy",2)</f>
        <v/>
      </c>
      <c r="E506" s="5" t="str">
        <f>IMAGE("https://drive.google.com/uc?export=view&amp;id=15L-UTiztJJi0wZfOVsvzfloZ3moSn8hy",1)</f>
        <v/>
      </c>
      <c r="F506" s="6" t="s">
        <v>2579</v>
      </c>
      <c r="G506" s="6" t="s">
        <v>2580</v>
      </c>
      <c r="H506" s="1" t="s">
        <v>30</v>
      </c>
      <c r="I506" s="7">
        <v>45897.45813515046</v>
      </c>
      <c r="J506" s="7">
        <v>45913.55501456019</v>
      </c>
      <c r="K506" s="1" t="s">
        <v>31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60.0" customHeight="1">
      <c r="A507" s="1" t="s">
        <v>2581</v>
      </c>
      <c r="B507" s="1" t="s">
        <v>2582</v>
      </c>
      <c r="C507" s="2" t="s">
        <v>2583</v>
      </c>
      <c r="D507" s="5" t="str">
        <f>IMAGE("https://drive.google.com/uc?export=view&amp;id=1tdoFkCgnKQLLcdJlGCAqVxpKC9rllQQZ",2)</f>
        <v/>
      </c>
      <c r="E507" s="5" t="str">
        <f>IMAGE("https://drive.google.com/uc?export=view&amp;id=1tdoFkCgnKQLLcdJlGCAqVxpKC9rllQQZ",1)</f>
        <v/>
      </c>
      <c r="F507" s="6" t="s">
        <v>2584</v>
      </c>
      <c r="G507" s="6" t="s">
        <v>2585</v>
      </c>
      <c r="H507" s="1" t="s">
        <v>16</v>
      </c>
      <c r="I507" s="7">
        <v>45875.06945055556</v>
      </c>
      <c r="J507" s="7">
        <v>45890.46080681713</v>
      </c>
      <c r="K507" s="1" t="s">
        <v>17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60.0" customHeight="1">
      <c r="A508" s="1" t="s">
        <v>2586</v>
      </c>
      <c r="B508" s="1" t="s">
        <v>2587</v>
      </c>
      <c r="C508" s="2" t="s">
        <v>2588</v>
      </c>
      <c r="D508" s="5" t="str">
        <f>IMAGE("https://drive.google.com/uc?export=view&amp;id=12HbHJ2jgJlyhaBCh0a0OcYKzneA425Km",2)</f>
        <v/>
      </c>
      <c r="E508" s="5" t="str">
        <f>IMAGE("https://drive.google.com/uc?export=view&amp;id=12HbHJ2jgJlyhaBCh0a0OcYKzneA425Km",1)</f>
        <v/>
      </c>
      <c r="F508" s="6" t="s">
        <v>2589</v>
      </c>
      <c r="G508" s="6" t="s">
        <v>2590</v>
      </c>
      <c r="H508" s="1" t="s">
        <v>23</v>
      </c>
      <c r="I508" s="7">
        <v>45898.58381015046</v>
      </c>
      <c r="J508" s="7">
        <v>45898.57773148148</v>
      </c>
      <c r="K508" s="1" t="s">
        <v>24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60.0" customHeight="1">
      <c r="A509" s="1" t="s">
        <v>2591</v>
      </c>
      <c r="B509" s="1" t="s">
        <v>2592</v>
      </c>
      <c r="C509" s="2" t="s">
        <v>2593</v>
      </c>
      <c r="D509" s="5" t="str">
        <f>IMAGE("https://drive.google.com/uc?export=view&amp;id=1ADDTms_2Sud0W131tEfE1TLgJ4kpv0sh",2)</f>
        <v/>
      </c>
      <c r="E509" s="5" t="str">
        <f>IMAGE("https://drive.google.com/uc?export=view&amp;id=1ADDTms_2Sud0W131tEfE1TLgJ4kpv0sh",1)</f>
        <v/>
      </c>
      <c r="F509" s="6" t="s">
        <v>2594</v>
      </c>
      <c r="G509" s="6" t="s">
        <v>2595</v>
      </c>
      <c r="H509" s="1" t="s">
        <v>30</v>
      </c>
      <c r="I509" s="7">
        <v>45913.545945509264</v>
      </c>
      <c r="J509" s="7">
        <v>45903.505000000005</v>
      </c>
      <c r="K509" s="1" t="s">
        <v>31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60.0" customHeight="1">
      <c r="A510" s="1" t="s">
        <v>2596</v>
      </c>
      <c r="B510" s="1" t="s">
        <v>2597</v>
      </c>
      <c r="C510" s="2" t="s">
        <v>2598</v>
      </c>
      <c r="D510" s="5" t="str">
        <f>IMAGE("https://drive.google.com/uc?export=view&amp;id=1wCL4EHF-PCMKiVPZC8ypNZsLbfy0q3cw",2)</f>
        <v/>
      </c>
      <c r="E510" s="5" t="str">
        <f>IMAGE("https://drive.google.com/uc?export=view&amp;id=1wCL4EHF-PCMKiVPZC8ypNZsLbfy0q3cw",1)</f>
        <v/>
      </c>
      <c r="F510" s="6" t="s">
        <v>2599</v>
      </c>
      <c r="G510" s="6" t="s">
        <v>2600</v>
      </c>
      <c r="H510" s="1" t="s">
        <v>23</v>
      </c>
      <c r="I510" s="7">
        <v>45898.58381015046</v>
      </c>
      <c r="J510" s="7">
        <v>45898.57773148148</v>
      </c>
      <c r="K510" s="1" t="s">
        <v>24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60.0" customHeight="1">
      <c r="A511" s="1" t="s">
        <v>2601</v>
      </c>
      <c r="B511" s="1" t="s">
        <v>2602</v>
      </c>
      <c r="C511" s="2" t="s">
        <v>2603</v>
      </c>
      <c r="D511" s="5" t="str">
        <f>IMAGE("https://drive.google.com/uc?export=view&amp;id=1T9qJUJM9Tbwvizw0zhw8lKGenqmO2d6A",2)</f>
        <v/>
      </c>
      <c r="E511" s="5" t="str">
        <f>IMAGE("https://drive.google.com/uc?export=view&amp;id=1T9qJUJM9Tbwvizw0zhw8lKGenqmO2d6A",1)</f>
        <v/>
      </c>
      <c r="F511" s="6" t="s">
        <v>2604</v>
      </c>
      <c r="G511" s="6" t="s">
        <v>2605</v>
      </c>
      <c r="H511" s="1" t="s">
        <v>16</v>
      </c>
      <c r="I511" s="7">
        <v>45890.45554689815</v>
      </c>
      <c r="J511" s="7">
        <v>45887.50696759259</v>
      </c>
      <c r="K511" s="1" t="s">
        <v>17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60.0" customHeight="1">
      <c r="A512" s="1" t="s">
        <v>2606</v>
      </c>
      <c r="B512" s="1" t="s">
        <v>2607</v>
      </c>
      <c r="C512" s="2" t="s">
        <v>2608</v>
      </c>
      <c r="D512" s="5" t="str">
        <f>IMAGE("https://drive.google.com/uc?export=view&amp;id=1LwR_x8crIPsxMKa6tp8eKMI1yWUF0A-S",2)</f>
        <v/>
      </c>
      <c r="E512" s="5" t="str">
        <f>IMAGE("https://drive.google.com/uc?export=view&amp;id=1LwR_x8crIPsxMKa6tp8eKMI1yWUF0A-S",1)</f>
        <v/>
      </c>
      <c r="F512" s="6" t="s">
        <v>2609</v>
      </c>
      <c r="G512" s="6" t="s">
        <v>2610</v>
      </c>
      <c r="H512" s="1" t="s">
        <v>23</v>
      </c>
      <c r="I512" s="7">
        <v>45898.58374832176</v>
      </c>
      <c r="J512" s="7">
        <v>45898.57774305556</v>
      </c>
      <c r="K512" s="1" t="s">
        <v>24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60.0" customHeight="1">
      <c r="A513" s="1" t="s">
        <v>2611</v>
      </c>
      <c r="B513" s="1" t="s">
        <v>2612</v>
      </c>
      <c r="C513" s="2" t="s">
        <v>2613</v>
      </c>
      <c r="D513" s="5" t="str">
        <f>IMAGE("https://drive.google.com/uc?export=view&amp;id=1RhPbazngbKh_5YD9HnGgotSiaFXW-3_f",2)</f>
        <v/>
      </c>
      <c r="E513" s="5" t="str">
        <f>IMAGE("https://drive.google.com/uc?export=view&amp;id=1RhPbazngbKh_5YD9HnGgotSiaFXW-3_f",1)</f>
        <v/>
      </c>
      <c r="F513" s="6" t="s">
        <v>2614</v>
      </c>
      <c r="G513" s="6" t="s">
        <v>2615</v>
      </c>
      <c r="H513" s="1" t="s">
        <v>16</v>
      </c>
      <c r="I513" s="7">
        <v>45890.705489409724</v>
      </c>
      <c r="J513" s="7">
        <v>45890.52994212963</v>
      </c>
      <c r="K513" s="1" t="s">
        <v>17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60.0" customHeight="1">
      <c r="A514" s="1" t="s">
        <v>2616</v>
      </c>
      <c r="B514" s="1" t="s">
        <v>2617</v>
      </c>
      <c r="C514" s="2" t="s">
        <v>2618</v>
      </c>
      <c r="D514" s="5" t="str">
        <f>IMAGE("https://drive.google.com/uc?export=view&amp;id=12EpmKFJszzJYPpGeDf_ES64H9-A7F-4Z",2)</f>
        <v/>
      </c>
      <c r="E514" s="5" t="str">
        <f>IMAGE("https://drive.google.com/uc?export=view&amp;id=12EpmKFJszzJYPpGeDf_ES64H9-A7F-4Z",1)</f>
        <v/>
      </c>
      <c r="F514" s="6" t="s">
        <v>2619</v>
      </c>
      <c r="G514" s="6" t="s">
        <v>2620</v>
      </c>
      <c r="H514" s="1" t="s">
        <v>23</v>
      </c>
      <c r="I514" s="7">
        <v>45898.58381015046</v>
      </c>
      <c r="J514" s="7">
        <v>45898.57773148148</v>
      </c>
      <c r="K514" s="1" t="s">
        <v>24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60.0" customHeight="1">
      <c r="A515" s="1" t="s">
        <v>2621</v>
      </c>
      <c r="B515" s="1" t="s">
        <v>2622</v>
      </c>
      <c r="C515" s="2" t="s">
        <v>2623</v>
      </c>
      <c r="D515" s="5" t="str">
        <f>IMAGE("https://drive.google.com/uc?export=view&amp;id=1V760CycNBtZGFEqlHrq1xApLi_NYK832",2)</f>
        <v/>
      </c>
      <c r="E515" s="5" t="str">
        <f>IMAGE("https://drive.google.com/uc?export=view&amp;id=1V760CycNBtZGFEqlHrq1xApLi_NYK832",1)</f>
        <v/>
      </c>
      <c r="F515" s="6" t="s">
        <v>2624</v>
      </c>
      <c r="G515" s="6" t="s">
        <v>2625</v>
      </c>
      <c r="H515" s="1" t="s">
        <v>16</v>
      </c>
      <c r="I515" s="7">
        <v>45872.782273171295</v>
      </c>
      <c r="J515" s="7">
        <v>45890.460934560186</v>
      </c>
      <c r="K515" s="1" t="s">
        <v>17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60.0" customHeight="1">
      <c r="A516" s="1" t="s">
        <v>2626</v>
      </c>
      <c r="B516" s="1" t="s">
        <v>2627</v>
      </c>
      <c r="C516" s="2" t="s">
        <v>2628</v>
      </c>
      <c r="D516" s="5" t="str">
        <f>IMAGE("https://drive.google.com/uc?export=view&amp;id=1W8CrLfu582shF-8iavKMK6_tI-9S2RJ3",2)</f>
        <v/>
      </c>
      <c r="E516" s="5" t="str">
        <f>IMAGE("https://drive.google.com/uc?export=view&amp;id=1W8CrLfu582shF-8iavKMK6_tI-9S2RJ3",1)</f>
        <v/>
      </c>
      <c r="F516" s="6" t="s">
        <v>2629</v>
      </c>
      <c r="G516" s="6" t="s">
        <v>2630</v>
      </c>
      <c r="H516" s="1" t="s">
        <v>23</v>
      </c>
      <c r="I516" s="7">
        <v>45898.58374832176</v>
      </c>
      <c r="J516" s="7">
        <v>45898.57774305556</v>
      </c>
      <c r="K516" s="1" t="s">
        <v>24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60.0" customHeight="1">
      <c r="A517" s="1" t="s">
        <v>2631</v>
      </c>
      <c r="B517" s="1" t="s">
        <v>2632</v>
      </c>
      <c r="C517" s="2" t="s">
        <v>2633</v>
      </c>
      <c r="D517" s="5" t="str">
        <f>IMAGE("https://drive.google.com/uc?export=view&amp;id=1JtJX9ElfgCnJMDL9rb04p_DbHkSXtYg4",2)</f>
        <v/>
      </c>
      <c r="E517" s="5" t="str">
        <f>IMAGE("https://drive.google.com/uc?export=view&amp;id=1JtJX9ElfgCnJMDL9rb04p_DbHkSXtYg4",1)</f>
        <v/>
      </c>
      <c r="F517" s="6" t="s">
        <v>2634</v>
      </c>
      <c r="G517" s="6" t="s">
        <v>2635</v>
      </c>
      <c r="H517" s="1" t="s">
        <v>16</v>
      </c>
      <c r="I517" s="7">
        <v>45872.78244836806</v>
      </c>
      <c r="J517" s="7">
        <v>45890.461061469905</v>
      </c>
      <c r="K517" s="1" t="s">
        <v>17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60.0" customHeight="1">
      <c r="A518" s="1" t="s">
        <v>2636</v>
      </c>
      <c r="B518" s="1" t="s">
        <v>2637</v>
      </c>
      <c r="C518" s="2" t="s">
        <v>2638</v>
      </c>
      <c r="D518" s="5" t="str">
        <f>IMAGE("https://drive.google.com/uc?export=view&amp;id=1dFPHTW2KyZ5GzzQQmIx6PcRm_BAxfRJn",2)</f>
        <v/>
      </c>
      <c r="E518" s="5" t="str">
        <f>IMAGE("https://drive.google.com/uc?export=view&amp;id=1dFPHTW2KyZ5GzzQQmIx6PcRm_BAxfRJn",1)</f>
        <v/>
      </c>
      <c r="F518" s="6" t="s">
        <v>2639</v>
      </c>
      <c r="G518" s="6" t="s">
        <v>2640</v>
      </c>
      <c r="H518" s="1" t="s">
        <v>23</v>
      </c>
      <c r="I518" s="7">
        <v>45898.58374832176</v>
      </c>
      <c r="J518" s="7">
        <v>45898.57774305556</v>
      </c>
      <c r="K518" s="1" t="s">
        <v>24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60.0" customHeight="1">
      <c r="A519" s="1" t="s">
        <v>2641</v>
      </c>
      <c r="B519" s="1" t="s">
        <v>2642</v>
      </c>
      <c r="C519" s="2" t="s">
        <v>2643</v>
      </c>
      <c r="D519" s="5" t="str">
        <f>IMAGE("https://drive.google.com/uc?export=view&amp;id=1GTJ7PSDFuYYBwgPaTemDot-L7n5elm4S",2)</f>
        <v/>
      </c>
      <c r="E519" s="5" t="str">
        <f>IMAGE("https://drive.google.com/uc?export=view&amp;id=1GTJ7PSDFuYYBwgPaTemDot-L7n5elm4S",1)</f>
        <v/>
      </c>
      <c r="F519" s="6" t="s">
        <v>2644</v>
      </c>
      <c r="G519" s="6" t="s">
        <v>2645</v>
      </c>
      <c r="H519" s="1" t="s">
        <v>114</v>
      </c>
      <c r="I519" s="7">
        <v>45828.549667997686</v>
      </c>
      <c r="J519" s="7">
        <v>45860.70521152778</v>
      </c>
      <c r="K519" s="1" t="s">
        <v>115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60.0" customHeight="1">
      <c r="A520" s="1" t="s">
        <v>2646</v>
      </c>
      <c r="B520" s="1" t="s">
        <v>2647</v>
      </c>
      <c r="C520" s="2" t="s">
        <v>2648</v>
      </c>
      <c r="D520" s="5" t="str">
        <f>IMAGE("https://drive.google.com/uc?export=view&amp;id=1LfUWXbmz4lvoHSlo-QWCd8s71Wwm6rc1",2)</f>
        <v/>
      </c>
      <c r="E520" s="5" t="str">
        <f>IMAGE("https://drive.google.com/uc?export=view&amp;id=1LfUWXbmz4lvoHSlo-QWCd8s71Wwm6rc1",1)</f>
        <v/>
      </c>
      <c r="F520" s="6" t="s">
        <v>2649</v>
      </c>
      <c r="G520" s="6" t="s">
        <v>2650</v>
      </c>
      <c r="H520" s="1" t="s">
        <v>121</v>
      </c>
      <c r="I520" s="7">
        <v>46074.498558692125</v>
      </c>
      <c r="J520" s="7">
        <v>46072.66439814815</v>
      </c>
      <c r="K520" s="1" t="s">
        <v>122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60.0" customHeight="1">
      <c r="A521" s="1" t="s">
        <v>2651</v>
      </c>
      <c r="B521" s="1" t="s">
        <v>2652</v>
      </c>
      <c r="C521" s="2" t="s">
        <v>2653</v>
      </c>
      <c r="D521" s="5" t="str">
        <f>IMAGE("https://drive.google.com/uc?export=view&amp;id=1pIBM7bOahJR32hcHT7QBNhlKw2TA4eEZ",2)</f>
        <v/>
      </c>
      <c r="E521" s="5" t="str">
        <f>IMAGE("https://drive.google.com/uc?export=view&amp;id=1pIBM7bOahJR32hcHT7QBNhlKw2TA4eEZ",1)</f>
        <v/>
      </c>
      <c r="F521" s="6" t="s">
        <v>2654</v>
      </c>
      <c r="G521" s="6" t="s">
        <v>2655</v>
      </c>
      <c r="H521" s="1" t="s">
        <v>405</v>
      </c>
      <c r="I521" s="7">
        <v>46067.80846608796</v>
      </c>
      <c r="J521" s="7">
        <v>46067.772245370375</v>
      </c>
      <c r="K521" s="1" t="s">
        <v>406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60.0" customHeight="1">
      <c r="A522" s="1" t="s">
        <v>2656</v>
      </c>
      <c r="B522" s="1" t="s">
        <v>2657</v>
      </c>
      <c r="C522" s="2" t="s">
        <v>2658</v>
      </c>
      <c r="D522" s="5" t="str">
        <f>IMAGE("https://drive.google.com/uc?export=view&amp;id=12UUmbM1ZEbw31-AEKxO-9hPJyv7nc2GR",2)</f>
        <v/>
      </c>
      <c r="E522" s="5" t="str">
        <f>IMAGE("https://drive.google.com/uc?export=view&amp;id=12UUmbM1ZEbw31-AEKxO-9hPJyv7nc2GR",1)</f>
        <v/>
      </c>
      <c r="F522" s="6" t="s">
        <v>2659</v>
      </c>
      <c r="G522" s="6" t="s">
        <v>2660</v>
      </c>
      <c r="H522" s="1" t="s">
        <v>30</v>
      </c>
      <c r="I522" s="7">
        <v>45897.458274432865</v>
      </c>
      <c r="J522" s="7">
        <v>45913.55518625</v>
      </c>
      <c r="K522" s="1" t="s">
        <v>31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60.0" customHeight="1">
      <c r="A523" s="1" t="s">
        <v>2661</v>
      </c>
      <c r="B523" s="1" t="s">
        <v>2662</v>
      </c>
      <c r="C523" s="2" t="s">
        <v>2663</v>
      </c>
      <c r="D523" s="5" t="str">
        <f>IMAGE("https://drive.google.com/uc?export=view&amp;id=1kiHj88q4tLo4v4YS9ArgfBa1ykAn3ZHv",2)</f>
        <v/>
      </c>
      <c r="E523" s="5" t="str">
        <f>IMAGE("https://drive.google.com/uc?export=view&amp;id=1kiHj88q4tLo4v4YS9ArgfBa1ykAn3ZHv",1)</f>
        <v/>
      </c>
      <c r="F523" s="6" t="s">
        <v>2664</v>
      </c>
      <c r="G523" s="6" t="s">
        <v>2665</v>
      </c>
      <c r="H523" s="1" t="s">
        <v>1055</v>
      </c>
      <c r="I523" s="7">
        <v>46080.6493049537</v>
      </c>
      <c r="J523" s="7">
        <v>46080.35642361111</v>
      </c>
      <c r="K523" s="1" t="s">
        <v>1056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60.0" customHeight="1">
      <c r="A524" s="1" t="s">
        <v>2666</v>
      </c>
      <c r="B524" s="1" t="s">
        <v>2667</v>
      </c>
      <c r="C524" s="2" t="s">
        <v>2668</v>
      </c>
      <c r="D524" s="5" t="str">
        <f>IMAGE("https://drive.google.com/uc?export=view&amp;id=1_vaSGGeBurcVJAKki0cS0rZpwrxytn8e",2)</f>
        <v/>
      </c>
      <c r="E524" s="5" t="str">
        <f>IMAGE("https://drive.google.com/uc?export=view&amp;id=1_vaSGGeBurcVJAKki0cS0rZpwrxytn8e",1)</f>
        <v/>
      </c>
      <c r="F524" s="6" t="s">
        <v>2669</v>
      </c>
      <c r="G524" s="6" t="s">
        <v>2670</v>
      </c>
      <c r="H524" s="1" t="s">
        <v>820</v>
      </c>
      <c r="I524" s="7">
        <v>46009.65789232639</v>
      </c>
      <c r="J524" s="7">
        <v>45850.497719907406</v>
      </c>
      <c r="K524" s="1" t="s">
        <v>821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60.0" customHeight="1">
      <c r="A525" s="1" t="s">
        <v>2671</v>
      </c>
      <c r="B525" s="1" t="s">
        <v>2672</v>
      </c>
      <c r="C525" s="2" t="s">
        <v>2673</v>
      </c>
      <c r="D525" s="5" t="str">
        <f>IMAGE("https://drive.google.com/uc?export=view&amp;id=1F6IBxy55RqjziMnNgdAoqCDUH2TVgwkX",2)</f>
        <v/>
      </c>
      <c r="E525" s="5" t="str">
        <f>IMAGE("https://drive.google.com/uc?export=view&amp;id=1F6IBxy55RqjziMnNgdAoqCDUH2TVgwkX",1)</f>
        <v/>
      </c>
      <c r="F525" s="6" t="s">
        <v>2674</v>
      </c>
      <c r="G525" s="6" t="s">
        <v>2675</v>
      </c>
      <c r="H525" s="1" t="s">
        <v>820</v>
      </c>
      <c r="I525" s="7">
        <v>46009.65809412037</v>
      </c>
      <c r="J525" s="7">
        <v>46005.80746527778</v>
      </c>
      <c r="K525" s="1" t="s">
        <v>821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60.0" customHeight="1">
      <c r="A526" s="1" t="s">
        <v>2676</v>
      </c>
      <c r="B526" s="1" t="s">
        <v>2677</v>
      </c>
      <c r="C526" s="2" t="s">
        <v>2678</v>
      </c>
      <c r="D526" s="5" t="str">
        <f>IMAGE("https://drive.google.com/uc?export=view&amp;id=18M5raQVObbocirgliP2le1q24w2c3jZU",2)</f>
        <v/>
      </c>
      <c r="E526" s="5" t="str">
        <f>IMAGE("https://drive.google.com/uc?export=view&amp;id=18M5raQVObbocirgliP2le1q24w2c3jZU",1)</f>
        <v/>
      </c>
      <c r="F526" s="6" t="s">
        <v>2679</v>
      </c>
      <c r="G526" s="6" t="s">
        <v>2680</v>
      </c>
      <c r="H526" s="1" t="s">
        <v>820</v>
      </c>
      <c r="I526" s="7">
        <v>46009.658243391204</v>
      </c>
      <c r="J526" s="7">
        <v>46009.65646990741</v>
      </c>
      <c r="K526" s="1" t="s">
        <v>821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60.0" customHeight="1">
      <c r="A527" s="1" t="s">
        <v>2681</v>
      </c>
      <c r="B527" s="1" t="s">
        <v>2682</v>
      </c>
      <c r="C527" s="2" t="s">
        <v>2683</v>
      </c>
      <c r="D527" s="5" t="str">
        <f>IMAGE("https://drive.google.com/uc?export=view&amp;id=10ZYCD4_mHO0NYuPk_IKcghPMgLzB884r",2)</f>
        <v/>
      </c>
      <c r="E527" s="5" t="str">
        <f>IMAGE("https://drive.google.com/uc?export=view&amp;id=10ZYCD4_mHO0NYuPk_IKcghPMgLzB884r",1)</f>
        <v/>
      </c>
      <c r="F527" s="6" t="s">
        <v>2684</v>
      </c>
      <c r="G527" s="6" t="s">
        <v>2685</v>
      </c>
      <c r="H527" s="1" t="s">
        <v>820</v>
      </c>
      <c r="I527" s="7">
        <v>46009.65734376157</v>
      </c>
      <c r="J527" s="7">
        <v>45849.42798611111</v>
      </c>
      <c r="K527" s="1" t="s">
        <v>821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60.0" customHeight="1">
      <c r="A528" s="1" t="s">
        <v>2686</v>
      </c>
      <c r="B528" s="1" t="s">
        <v>2687</v>
      </c>
      <c r="C528" s="2" t="s">
        <v>2688</v>
      </c>
      <c r="D528" s="5" t="str">
        <f>IMAGE("https://drive.google.com/uc?export=view&amp;id=1Gnt50sjfFxQQbqryMcZ34XYsPN2d3izH",2)</f>
        <v/>
      </c>
      <c r="E528" s="5" t="str">
        <f>IMAGE("https://drive.google.com/uc?export=view&amp;id=1Gnt50sjfFxQQbqryMcZ34XYsPN2d3izH",1)</f>
        <v/>
      </c>
      <c r="F528" s="6" t="s">
        <v>2689</v>
      </c>
      <c r="G528" s="6" t="s">
        <v>2690</v>
      </c>
      <c r="H528" s="1" t="s">
        <v>820</v>
      </c>
      <c r="I528" s="7">
        <v>46009.657553784724</v>
      </c>
      <c r="J528" s="7">
        <v>46009.63114583334</v>
      </c>
      <c r="K528" s="1" t="s">
        <v>821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60.0" customHeight="1">
      <c r="A529" s="1" t="s">
        <v>2691</v>
      </c>
      <c r="B529" s="1" t="s">
        <v>2692</v>
      </c>
      <c r="C529" s="2" t="s">
        <v>2693</v>
      </c>
      <c r="D529" s="5" t="str">
        <f>IMAGE("https://drive.google.com/uc?export=view&amp;id=12DNFcXqjG_lqq5aF49QuN79sWSQddTIz",2)</f>
        <v/>
      </c>
      <c r="E529" s="5" t="str">
        <f>IMAGE("https://drive.google.com/uc?export=view&amp;id=12DNFcXqjG_lqq5aF49QuN79sWSQddTIz",1)</f>
        <v/>
      </c>
      <c r="F529" s="6" t="s">
        <v>2694</v>
      </c>
      <c r="G529" s="6" t="s">
        <v>2695</v>
      </c>
      <c r="H529" s="1" t="s">
        <v>114</v>
      </c>
      <c r="I529" s="7">
        <v>45828.54981578704</v>
      </c>
      <c r="J529" s="7">
        <v>45860.70536137732</v>
      </c>
      <c r="K529" s="1" t="s">
        <v>115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60.0" customHeight="1">
      <c r="A530" s="1" t="s">
        <v>2696</v>
      </c>
      <c r="B530" s="1" t="s">
        <v>2697</v>
      </c>
      <c r="C530" s="2" t="s">
        <v>2698</v>
      </c>
      <c r="D530" s="5" t="str">
        <f>IMAGE("https://drive.google.com/uc?export=view&amp;id=1IL39a-GuL_gbuXki_0te9pXkCyQilu5e",2)</f>
        <v/>
      </c>
      <c r="E530" s="5" t="str">
        <f>IMAGE("https://drive.google.com/uc?export=view&amp;id=1IL39a-GuL_gbuXki_0te9pXkCyQilu5e",1)</f>
        <v/>
      </c>
      <c r="F530" s="6" t="s">
        <v>2699</v>
      </c>
      <c r="G530" s="6" t="s">
        <v>2700</v>
      </c>
      <c r="H530" s="1" t="s">
        <v>16</v>
      </c>
      <c r="I530" s="7">
        <v>45873.511318715275</v>
      </c>
      <c r="J530" s="7">
        <v>45890.46120109953</v>
      </c>
      <c r="K530" s="1" t="s">
        <v>17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60.0" customHeight="1">
      <c r="A531" s="1" t="s">
        <v>2701</v>
      </c>
      <c r="B531" s="1" t="s">
        <v>2702</v>
      </c>
      <c r="C531" s="2" t="s">
        <v>2703</v>
      </c>
      <c r="D531" s="5" t="str">
        <f>IMAGE("https://drive.google.com/uc?export=view&amp;id=1U9vUN8C1rsf1vafplzNIIXLOaL3BAOaC",2)</f>
        <v/>
      </c>
      <c r="E531" s="5" t="str">
        <f>IMAGE("https://drive.google.com/uc?export=view&amp;id=1U9vUN8C1rsf1vafplzNIIXLOaL3BAOaC",1)</f>
        <v/>
      </c>
      <c r="F531" s="6" t="s">
        <v>2704</v>
      </c>
      <c r="G531" s="6" t="s">
        <v>2705</v>
      </c>
      <c r="H531" s="1" t="s">
        <v>23</v>
      </c>
      <c r="I531" s="7">
        <v>45898.58375065972</v>
      </c>
      <c r="J531" s="7">
        <v>45898.57774305556</v>
      </c>
      <c r="K531" s="1" t="s">
        <v>24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60.0" customHeight="1">
      <c r="A532" s="1" t="s">
        <v>2706</v>
      </c>
      <c r="B532" s="1" t="s">
        <v>2707</v>
      </c>
      <c r="C532" s="2" t="s">
        <v>2708</v>
      </c>
      <c r="D532" s="5" t="str">
        <f>IMAGE("https://drive.google.com/uc?export=view&amp;id=1tbx-5AEjkhF0TrLMy85cDPDX7PwrnUx1",2)</f>
        <v/>
      </c>
      <c r="E532" s="5" t="str">
        <f>IMAGE("https://drive.google.com/uc?export=view&amp;id=1tbx-5AEjkhF0TrLMy85cDPDX7PwrnUx1",1)</f>
        <v/>
      </c>
      <c r="F532" s="6" t="s">
        <v>2709</v>
      </c>
      <c r="G532" s="6" t="s">
        <v>2710</v>
      </c>
      <c r="H532" s="1" t="s">
        <v>234</v>
      </c>
      <c r="I532" s="7">
        <v>46070.95024116898</v>
      </c>
      <c r="J532" s="7">
        <v>46070.69076388889</v>
      </c>
      <c r="K532" s="1" t="s">
        <v>235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60.0" customHeight="1">
      <c r="A533" s="1" t="s">
        <v>2711</v>
      </c>
      <c r="B533" s="1" t="s">
        <v>2712</v>
      </c>
      <c r="C533" s="2" t="s">
        <v>2713</v>
      </c>
      <c r="D533" s="5" t="str">
        <f>IMAGE("https://drive.google.com/uc?export=view&amp;id=1CzTrybBGGBJF_iQY4qJQxWGtkNGIERDQ",2)</f>
        <v/>
      </c>
      <c r="E533" s="5" t="str">
        <f>IMAGE("https://drive.google.com/uc?export=view&amp;id=1CzTrybBGGBJF_iQY4qJQxWGtkNGIERDQ",1)</f>
        <v/>
      </c>
      <c r="F533" s="6" t="s">
        <v>2714</v>
      </c>
      <c r="G533" s="6" t="s">
        <v>2715</v>
      </c>
      <c r="H533" s="1" t="s">
        <v>1055</v>
      </c>
      <c r="I533" s="7">
        <v>46080.65018619213</v>
      </c>
      <c r="J533" s="7">
        <v>46079.68884259259</v>
      </c>
      <c r="K533" s="1" t="s">
        <v>1056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60.0" customHeight="1">
      <c r="A534" s="1" t="s">
        <v>2716</v>
      </c>
      <c r="B534" s="1" t="s">
        <v>2717</v>
      </c>
      <c r="C534" s="2" t="s">
        <v>2718</v>
      </c>
      <c r="D534" s="5" t="str">
        <f>IMAGE("https://drive.google.com/uc?export=view&amp;id=1_lgBYz-fZ1jaygOm1sH9HyITL-z1P9Rz",2)</f>
        <v/>
      </c>
      <c r="E534" s="5" t="str">
        <f>IMAGE("https://drive.google.com/uc?export=view&amp;id=1_lgBYz-fZ1jaygOm1sH9HyITL-z1P9Rz",1)</f>
        <v/>
      </c>
      <c r="F534" s="6" t="s">
        <v>2719</v>
      </c>
      <c r="G534" s="6" t="s">
        <v>2720</v>
      </c>
      <c r="H534" s="1" t="s">
        <v>646</v>
      </c>
      <c r="I534" s="7">
        <v>46068.72924143518</v>
      </c>
      <c r="J534" s="7">
        <v>46068.59662037037</v>
      </c>
      <c r="K534" s="1" t="s">
        <v>647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60.0" customHeight="1">
      <c r="A535" s="1" t="s">
        <v>2721</v>
      </c>
      <c r="B535" s="1" t="s">
        <v>2722</v>
      </c>
      <c r="C535" s="2" t="s">
        <v>2723</v>
      </c>
      <c r="D535" s="5" t="str">
        <f>IMAGE("https://drive.google.com/uc?export=view&amp;id=1HFu_aDoUl0-CZso7e_xp2XnPBvHbtbp7",2)</f>
        <v/>
      </c>
      <c r="E535" s="5" t="str">
        <f>IMAGE("https://drive.google.com/uc?export=view&amp;id=1HFu_aDoUl0-CZso7e_xp2XnPBvHbtbp7",1)</f>
        <v/>
      </c>
      <c r="F535" s="6" t="s">
        <v>2724</v>
      </c>
      <c r="G535" s="6" t="s">
        <v>2725</v>
      </c>
      <c r="H535" s="1" t="s">
        <v>272</v>
      </c>
      <c r="I535" s="7">
        <v>46078.46229228009</v>
      </c>
      <c r="J535" s="7">
        <v>46077.42065972222</v>
      </c>
      <c r="K535" s="1" t="s">
        <v>273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60.0" customHeight="1">
      <c r="A536" s="1" t="s">
        <v>2726</v>
      </c>
      <c r="B536" s="1" t="s">
        <v>2727</v>
      </c>
      <c r="C536" s="2" t="s">
        <v>2728</v>
      </c>
      <c r="D536" s="5" t="str">
        <f>IMAGE("https://drive.google.com/uc?export=view&amp;id=1Fu1Qk2-B1oOCICMOkFuMLmPBzdJeDN3-",2)</f>
        <v/>
      </c>
      <c r="E536" s="5" t="str">
        <f>IMAGE("https://drive.google.com/uc?export=view&amp;id=1Fu1Qk2-B1oOCICMOkFuMLmPBzdJeDN3-",1)</f>
        <v/>
      </c>
      <c r="F536" s="6" t="s">
        <v>2729</v>
      </c>
      <c r="G536" s="6" t="s">
        <v>2730</v>
      </c>
      <c r="H536" s="1" t="s">
        <v>114</v>
      </c>
      <c r="I536" s="7">
        <v>45828.54281704861</v>
      </c>
      <c r="J536" s="7">
        <v>45860.69141354167</v>
      </c>
      <c r="K536" s="1" t="s">
        <v>115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60.0" customHeight="1">
      <c r="A537" s="1" t="s">
        <v>2731</v>
      </c>
      <c r="B537" s="1" t="s">
        <v>2732</v>
      </c>
      <c r="C537" s="2" t="s">
        <v>2733</v>
      </c>
      <c r="D537" s="5" t="str">
        <f>IMAGE("https://drive.google.com/uc?export=view&amp;id=1lo5QnHBniduRqwug29ywAR0y3r3l2IUL",2)</f>
        <v/>
      </c>
      <c r="E537" s="5" t="str">
        <f>IMAGE("https://drive.google.com/uc?export=view&amp;id=1lo5QnHBniduRqwug29ywAR0y3r3l2IUL",1)</f>
        <v/>
      </c>
      <c r="F537" s="6" t="s">
        <v>2734</v>
      </c>
      <c r="G537" s="6" t="s">
        <v>2735</v>
      </c>
      <c r="H537" s="1" t="s">
        <v>114</v>
      </c>
      <c r="I537" s="7">
        <v>45828.551155636575</v>
      </c>
      <c r="J537" s="7">
        <v>45860.706677696755</v>
      </c>
      <c r="K537" s="1" t="s">
        <v>115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60.0" customHeight="1">
      <c r="A538" s="1" t="s">
        <v>2736</v>
      </c>
      <c r="B538" s="1" t="s">
        <v>2737</v>
      </c>
      <c r="C538" s="2" t="s">
        <v>2738</v>
      </c>
      <c r="D538" s="5" t="str">
        <f>IMAGE("https://drive.google.com/uc?export=view&amp;id=1pCkw27FSrEweMIJ0UMbdRsS_hw2DUNdm",2)</f>
        <v/>
      </c>
      <c r="E538" s="5" t="str">
        <f>IMAGE("https://drive.google.com/uc?export=view&amp;id=1pCkw27FSrEweMIJ0UMbdRsS_hw2DUNdm",1)</f>
        <v/>
      </c>
      <c r="F538" s="6" t="s">
        <v>2739</v>
      </c>
      <c r="G538" s="6" t="s">
        <v>2740</v>
      </c>
      <c r="H538" s="1" t="s">
        <v>16</v>
      </c>
      <c r="I538" s="7">
        <v>45872.78265460648</v>
      </c>
      <c r="J538" s="7">
        <v>45890.46134221065</v>
      </c>
      <c r="K538" s="1" t="s">
        <v>17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60.0" customHeight="1">
      <c r="A539" s="1" t="s">
        <v>2741</v>
      </c>
      <c r="B539" s="1" t="s">
        <v>2742</v>
      </c>
      <c r="C539" s="2" t="s">
        <v>2743</v>
      </c>
      <c r="D539" s="5" t="str">
        <f>IMAGE("https://drive.google.com/uc?export=view&amp;id=1vuxuQ-6tuYLnrPuFnLInfN9-a2OkKhAq",2)</f>
        <v/>
      </c>
      <c r="E539" s="5" t="str">
        <f>IMAGE("https://drive.google.com/uc?export=view&amp;id=1vuxuQ-6tuYLnrPuFnLInfN9-a2OkKhAq",1)</f>
        <v/>
      </c>
      <c r="F539" s="6" t="s">
        <v>2744</v>
      </c>
      <c r="G539" s="6" t="s">
        <v>2745</v>
      </c>
      <c r="H539" s="1" t="s">
        <v>23</v>
      </c>
      <c r="I539" s="7">
        <v>45898.58373172454</v>
      </c>
      <c r="J539" s="7">
        <v>45898.57774305556</v>
      </c>
      <c r="K539" s="1" t="s">
        <v>24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60.0" customHeight="1">
      <c r="A540" s="1" t="s">
        <v>2746</v>
      </c>
      <c r="B540" s="1" t="s">
        <v>2747</v>
      </c>
      <c r="C540" s="2" t="s">
        <v>2748</v>
      </c>
      <c r="D540" s="5" t="str">
        <f>IMAGE("https://drive.google.com/uc?export=view&amp;id=19yMd3ws7jIn8c4vWskQ-Zl0o-ff8GPW7",2)</f>
        <v/>
      </c>
      <c r="E540" s="5" t="str">
        <f>IMAGE("https://drive.google.com/uc?export=view&amp;id=19yMd3ws7jIn8c4vWskQ-Zl0o-ff8GPW7",1)</f>
        <v/>
      </c>
      <c r="F540" s="6" t="s">
        <v>2749</v>
      </c>
      <c r="G540" s="6" t="s">
        <v>2750</v>
      </c>
      <c r="H540" s="1" t="s">
        <v>114</v>
      </c>
      <c r="I540" s="7">
        <v>45828.54291056713</v>
      </c>
      <c r="J540" s="7">
        <v>45860.69143179398</v>
      </c>
      <c r="K540" s="1" t="s">
        <v>115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60.0" customHeight="1">
      <c r="A541" s="1" t="s">
        <v>2751</v>
      </c>
      <c r="B541" s="1" t="s">
        <v>2752</v>
      </c>
      <c r="C541" s="2" t="s">
        <v>2753</v>
      </c>
      <c r="D541" s="5" t="str">
        <f>IMAGE("https://drive.google.com/uc?export=view&amp;id=1I-cjTzPW0r5WVA-We0KW4HdbsC_C-ppH",2)</f>
        <v/>
      </c>
      <c r="E541" s="5" t="str">
        <f>IMAGE("https://drive.google.com/uc?export=view&amp;id=1I-cjTzPW0r5WVA-We0KW4HdbsC_C-ppH",1)</f>
        <v/>
      </c>
      <c r="F541" s="6" t="s">
        <v>2754</v>
      </c>
      <c r="G541" s="6" t="s">
        <v>2755</v>
      </c>
      <c r="H541" s="1" t="s">
        <v>820</v>
      </c>
      <c r="I541" s="7">
        <v>46017.51940762732</v>
      </c>
      <c r="J541" s="7">
        <v>46010.779062500005</v>
      </c>
      <c r="K541" s="1" t="s">
        <v>821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60.0" customHeight="1">
      <c r="A542" s="1" t="s">
        <v>2756</v>
      </c>
      <c r="B542" s="1" t="s">
        <v>2757</v>
      </c>
      <c r="C542" s="2" t="s">
        <v>2758</v>
      </c>
      <c r="D542" s="5" t="str">
        <f>IMAGE("https://drive.google.com/uc?export=view&amp;id=1yciOSM9MZjv6IRTQAxihBUWZ3NGeK8Ut",2)</f>
        <v/>
      </c>
      <c r="E542" s="5" t="str">
        <f>IMAGE("https://drive.google.com/uc?export=view&amp;id=1yciOSM9MZjv6IRTQAxihBUWZ3NGeK8Ut",1)</f>
        <v/>
      </c>
      <c r="F542" s="6" t="s">
        <v>2759</v>
      </c>
      <c r="G542" s="6" t="s">
        <v>2760</v>
      </c>
      <c r="H542" s="1" t="s">
        <v>92</v>
      </c>
      <c r="I542" s="7">
        <v>45841.51912188657</v>
      </c>
      <c r="J542" s="7">
        <v>45860.70547847222</v>
      </c>
      <c r="K542" s="1" t="s">
        <v>93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60.0" customHeight="1">
      <c r="A543" s="1" t="s">
        <v>2761</v>
      </c>
      <c r="B543" s="1" t="s">
        <v>2762</v>
      </c>
      <c r="C543" s="2" t="s">
        <v>2763</v>
      </c>
      <c r="D543" s="5" t="str">
        <f>IMAGE("https://drive.google.com/uc?export=view&amp;id=1BrFI83qYoK5D8SC3pT8Kpx4ryUjLQeKq",2)</f>
        <v/>
      </c>
      <c r="E543" s="5" t="str">
        <f>IMAGE("https://drive.google.com/uc?export=view&amp;id=1BrFI83qYoK5D8SC3pT8Kpx4ryUjLQeKq",1)</f>
        <v/>
      </c>
      <c r="F543" s="6" t="s">
        <v>2764</v>
      </c>
      <c r="G543" s="6" t="s">
        <v>2765</v>
      </c>
      <c r="H543" s="1" t="s">
        <v>30</v>
      </c>
      <c r="I543" s="7">
        <v>45913.546089456024</v>
      </c>
      <c r="J543" s="7">
        <v>45903.47515046297</v>
      </c>
      <c r="K543" s="1" t="s">
        <v>31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60.0" customHeight="1">
      <c r="A544" s="1" t="s">
        <v>2766</v>
      </c>
      <c r="B544" s="1" t="s">
        <v>2767</v>
      </c>
      <c r="C544" s="2" t="s">
        <v>2768</v>
      </c>
      <c r="D544" s="5" t="str">
        <f>IMAGE("https://drive.google.com/uc?export=view&amp;id=1SudasFtqDjbLwAaTJel6DO01SG1quL02",2)</f>
        <v/>
      </c>
      <c r="E544" s="5" t="str">
        <f>IMAGE("https://drive.google.com/uc?export=view&amp;id=1SudasFtqDjbLwAaTJel6DO01SG1quL02",1)</f>
        <v/>
      </c>
      <c r="F544" s="6" t="s">
        <v>2769</v>
      </c>
      <c r="G544" s="6" t="s">
        <v>2770</v>
      </c>
      <c r="H544" s="1" t="s">
        <v>820</v>
      </c>
      <c r="I544" s="7">
        <v>46017.519544930554</v>
      </c>
      <c r="J544" s="7">
        <v>46012.654699074075</v>
      </c>
      <c r="K544" s="1" t="s">
        <v>821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60.0" customHeight="1">
      <c r="A545" s="1" t="s">
        <v>2771</v>
      </c>
      <c r="B545" s="1" t="s">
        <v>2772</v>
      </c>
      <c r="C545" s="2" t="s">
        <v>2773</v>
      </c>
      <c r="D545" s="5" t="str">
        <f>IMAGE("https://drive.google.com/uc?export=view&amp;id=1FMB5_O1mc7rF5iZPfAdc_Eq7pa8ol4sb",2)</f>
        <v/>
      </c>
      <c r="E545" s="5" t="str">
        <f>IMAGE("https://drive.google.com/uc?export=view&amp;id=1FMB5_O1mc7rF5iZPfAdc_Eq7pa8ol4sb",1)</f>
        <v/>
      </c>
      <c r="F545" s="6" t="s">
        <v>2774</v>
      </c>
      <c r="G545" s="6" t="s">
        <v>2775</v>
      </c>
      <c r="H545" s="1" t="s">
        <v>70</v>
      </c>
      <c r="I545" s="7">
        <v>46048.03118194445</v>
      </c>
      <c r="J545" s="7">
        <v>46049.643718946754</v>
      </c>
      <c r="K545" s="1" t="s">
        <v>71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60.0" customHeight="1">
      <c r="A546" s="1" t="s">
        <v>2776</v>
      </c>
      <c r="B546" s="1" t="s">
        <v>2777</v>
      </c>
      <c r="C546" s="2" t="s">
        <v>2778</v>
      </c>
      <c r="D546" s="5" t="str">
        <f>IMAGE("https://drive.google.com/uc?export=view&amp;id=1FMzb0LKlsf3Rv-bW14WQ0YnizQLV-J0U",2)</f>
        <v/>
      </c>
      <c r="E546" s="5" t="str">
        <f>IMAGE("https://drive.google.com/uc?export=view&amp;id=1FMzb0LKlsf3Rv-bW14WQ0YnizQLV-J0U",1)</f>
        <v/>
      </c>
      <c r="F546" s="6" t="s">
        <v>2779</v>
      </c>
      <c r="G546" s="6" t="s">
        <v>2780</v>
      </c>
      <c r="H546" s="1" t="s">
        <v>405</v>
      </c>
      <c r="I546" s="7">
        <v>46067.809235057866</v>
      </c>
      <c r="J546" s="7">
        <v>46067.70511574074</v>
      </c>
      <c r="K546" s="1" t="s">
        <v>406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60.0" customHeight="1">
      <c r="A547" s="1" t="s">
        <v>2781</v>
      </c>
      <c r="B547" s="1" t="s">
        <v>2782</v>
      </c>
      <c r="C547" s="2" t="s">
        <v>2783</v>
      </c>
      <c r="D547" s="5" t="str">
        <f>IMAGE("https://drive.google.com/uc?export=view&amp;id=1U2Y31uD3o6darn73_TsTLUMEt3VcKR9I",2)</f>
        <v/>
      </c>
      <c r="E547" s="5" t="str">
        <f>IMAGE("https://drive.google.com/uc?export=view&amp;id=1U2Y31uD3o6darn73_TsTLUMEt3VcKR9I",1)</f>
        <v/>
      </c>
      <c r="F547" s="6" t="s">
        <v>2784</v>
      </c>
      <c r="G547" s="6" t="s">
        <v>2785</v>
      </c>
      <c r="H547" s="1" t="s">
        <v>2786</v>
      </c>
      <c r="I547" s="7">
        <v>46080.64664568287</v>
      </c>
      <c r="J547" s="7">
        <v>46080.37719907408</v>
      </c>
      <c r="K547" s="1" t="s">
        <v>2787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60.0" customHeight="1">
      <c r="A548" s="1" t="s">
        <v>2788</v>
      </c>
      <c r="B548" s="1" t="s">
        <v>2789</v>
      </c>
      <c r="C548" s="2" t="s">
        <v>2790</v>
      </c>
      <c r="D548" s="5" t="str">
        <f>IMAGE("https://drive.google.com/uc?export=view&amp;id=1V3ZFlcb5RovaeVI4EB8hvOTZ8JLJLCgc",2)</f>
        <v/>
      </c>
      <c r="E548" s="5" t="str">
        <f>IMAGE("https://drive.google.com/uc?export=view&amp;id=1V3ZFlcb5RovaeVI4EB8hvOTZ8JLJLCgc",1)</f>
        <v/>
      </c>
      <c r="F548" s="6" t="s">
        <v>2791</v>
      </c>
      <c r="G548" s="6" t="s">
        <v>2792</v>
      </c>
      <c r="H548" s="1" t="s">
        <v>2786</v>
      </c>
      <c r="I548" s="7">
        <v>46080.647312326386</v>
      </c>
      <c r="J548" s="7">
        <v>46080.395949074074</v>
      </c>
      <c r="K548" s="1" t="s">
        <v>2787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60.0" customHeight="1">
      <c r="A549" s="1" t="s">
        <v>2793</v>
      </c>
      <c r="B549" s="1" t="s">
        <v>2794</v>
      </c>
      <c r="C549" s="2" t="s">
        <v>2795</v>
      </c>
      <c r="D549" s="5" t="str">
        <f>IMAGE("https://drive.google.com/uc?export=view&amp;id=1GUzRR6trOQUt66RZcSvEmxx03EnSipKs",2)</f>
        <v/>
      </c>
      <c r="E549" s="5" t="str">
        <f>IMAGE("https://drive.google.com/uc?export=view&amp;id=1GUzRR6trOQUt66RZcSvEmxx03EnSipKs",1)</f>
        <v/>
      </c>
      <c r="F549" s="6" t="s">
        <v>2796</v>
      </c>
      <c r="G549" s="6" t="s">
        <v>2797</v>
      </c>
      <c r="H549" s="1" t="s">
        <v>427</v>
      </c>
      <c r="I549" s="7">
        <v>46069.91648901621</v>
      </c>
      <c r="J549" s="7">
        <v>46068.68997685185</v>
      </c>
      <c r="K549" s="1" t="s">
        <v>428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60.0" customHeight="1">
      <c r="A550" s="1" t="s">
        <v>2798</v>
      </c>
      <c r="B550" s="1" t="s">
        <v>2799</v>
      </c>
      <c r="C550" s="2" t="s">
        <v>2800</v>
      </c>
      <c r="D550" s="5" t="str">
        <f>IMAGE("https://drive.google.com/uc?export=view&amp;id=1ZTrPtGomdQ-aLKyOPNpztL8I5kndCFJt",2)</f>
        <v/>
      </c>
      <c r="E550" s="5" t="str">
        <f>IMAGE("https://drive.google.com/uc?export=view&amp;id=1ZTrPtGomdQ-aLKyOPNpztL8I5kndCFJt",1)</f>
        <v/>
      </c>
      <c r="F550" s="6" t="s">
        <v>2801</v>
      </c>
      <c r="G550" s="6" t="s">
        <v>2802</v>
      </c>
      <c r="H550" s="1" t="s">
        <v>121</v>
      </c>
      <c r="I550" s="7">
        <v>46074.49836841435</v>
      </c>
      <c r="J550" s="7">
        <v>46072.773634259254</v>
      </c>
      <c r="K550" s="1" t="s">
        <v>122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60.0" customHeight="1">
      <c r="A551" s="1" t="s">
        <v>2803</v>
      </c>
      <c r="B551" s="1" t="s">
        <v>2804</v>
      </c>
      <c r="C551" s="2" t="s">
        <v>2805</v>
      </c>
      <c r="D551" s="5" t="str">
        <f>IMAGE("https://drive.google.com/uc?export=view&amp;id=1dbptzwl3NTJ-cWqwQXl1y8rJzwot8iHp",2)</f>
        <v/>
      </c>
      <c r="E551" s="5" t="str">
        <f>IMAGE("https://drive.google.com/uc?export=view&amp;id=1dbptzwl3NTJ-cWqwQXl1y8rJzwot8iHp",1)</f>
        <v/>
      </c>
      <c r="F551" s="6" t="s">
        <v>2806</v>
      </c>
      <c r="G551" s="6" t="s">
        <v>2807</v>
      </c>
      <c r="H551" s="1" t="s">
        <v>92</v>
      </c>
      <c r="I551" s="7">
        <v>46005.843324814814</v>
      </c>
      <c r="J551" s="7">
        <v>46005.841875</v>
      </c>
      <c r="K551" s="1" t="s">
        <v>93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60.0" customHeight="1">
      <c r="A552" s="1" t="s">
        <v>2808</v>
      </c>
      <c r="B552" s="1" t="s">
        <v>2809</v>
      </c>
      <c r="C552" s="2" t="s">
        <v>2810</v>
      </c>
      <c r="D552" s="5" t="str">
        <f>IMAGE("https://drive.google.com/uc?export=view&amp;id=1C1coUlPU_A53Ky-r_rFJkfw2tbWOy68S",2)</f>
        <v/>
      </c>
      <c r="E552" s="5" t="str">
        <f>IMAGE("https://drive.google.com/uc?export=view&amp;id=1C1coUlPU_A53Ky-r_rFJkfw2tbWOy68S",1)</f>
        <v/>
      </c>
      <c r="F552" s="6" t="s">
        <v>2811</v>
      </c>
      <c r="G552" s="6" t="s">
        <v>2812</v>
      </c>
      <c r="H552" s="1" t="s">
        <v>16</v>
      </c>
      <c r="I552" s="7">
        <v>45887.499226458334</v>
      </c>
      <c r="J552" s="7">
        <v>45890.46145270833</v>
      </c>
      <c r="K552" s="1" t="s">
        <v>17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60.0" customHeight="1">
      <c r="A553" s="1" t="s">
        <v>2813</v>
      </c>
      <c r="B553" s="1" t="s">
        <v>2814</v>
      </c>
      <c r="C553" s="2" t="s">
        <v>2815</v>
      </c>
      <c r="D553" s="5" t="str">
        <f>IMAGE("https://drive.google.com/uc?export=view&amp;id=1nu2deYE_M31sViSUi1-UgxoxpnXU4xoe",2)</f>
        <v/>
      </c>
      <c r="E553" s="5" t="str">
        <f>IMAGE("https://drive.google.com/uc?export=view&amp;id=1nu2deYE_M31sViSUi1-UgxoxpnXU4xoe",1)</f>
        <v/>
      </c>
      <c r="F553" s="6" t="s">
        <v>2816</v>
      </c>
      <c r="G553" s="6" t="s">
        <v>2817</v>
      </c>
      <c r="H553" s="1" t="s">
        <v>23</v>
      </c>
      <c r="I553" s="7">
        <v>45898.58365305555</v>
      </c>
      <c r="J553" s="7">
        <v>45898.57775462963</v>
      </c>
      <c r="K553" s="1" t="s">
        <v>24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60.0" customHeight="1">
      <c r="A554" s="1" t="s">
        <v>2818</v>
      </c>
      <c r="B554" s="1" t="s">
        <v>2819</v>
      </c>
      <c r="C554" s="2" t="s">
        <v>2820</v>
      </c>
      <c r="D554" s="5" t="str">
        <f>IMAGE("https://drive.google.com/uc?export=view&amp;id=1Dunt_yGD5LAsxpzsXjqhauM4ikXqBqTq",2)</f>
        <v/>
      </c>
      <c r="E554" s="5" t="str">
        <f>IMAGE("https://drive.google.com/uc?export=view&amp;id=1Dunt_yGD5LAsxpzsXjqhauM4ikXqBqTq",1)</f>
        <v/>
      </c>
      <c r="F554" s="6" t="s">
        <v>2821</v>
      </c>
      <c r="G554" s="6" t="s">
        <v>2822</v>
      </c>
      <c r="H554" s="1" t="s">
        <v>92</v>
      </c>
      <c r="I554" s="7">
        <v>46005.95642725694</v>
      </c>
      <c r="J554" s="7">
        <v>46005.949583333335</v>
      </c>
      <c r="K554" s="1" t="s">
        <v>93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60.0" customHeight="1">
      <c r="A555" s="1" t="s">
        <v>2823</v>
      </c>
      <c r="B555" s="1" t="s">
        <v>2824</v>
      </c>
      <c r="C555" s="2" t="s">
        <v>2825</v>
      </c>
      <c r="D555" s="5" t="str">
        <f>IMAGE("https://drive.google.com/uc?export=view&amp;id=1jPhtWPB0UKpU6-w0XGFSg66zq_V1dcmx",2)</f>
        <v/>
      </c>
      <c r="E555" s="5" t="str">
        <f>IMAGE("https://drive.google.com/uc?export=view&amp;id=1jPhtWPB0UKpU6-w0XGFSg66zq_V1dcmx",1)</f>
        <v/>
      </c>
      <c r="F555" s="6" t="s">
        <v>2826</v>
      </c>
      <c r="G555" s="6" t="s">
        <v>2827</v>
      </c>
      <c r="H555" s="1" t="s">
        <v>16</v>
      </c>
      <c r="I555" s="7">
        <v>45869.463358333334</v>
      </c>
      <c r="J555" s="7">
        <v>45869.463446215275</v>
      </c>
      <c r="K555" s="1" t="s">
        <v>57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60.0" customHeight="1">
      <c r="A556" s="1" t="s">
        <v>2828</v>
      </c>
      <c r="B556" s="1" t="s">
        <v>2829</v>
      </c>
      <c r="C556" s="2" t="s">
        <v>2830</v>
      </c>
      <c r="D556" s="5" t="str">
        <f>IMAGE("https://drive.google.com/uc?export=view&amp;id=1gy54tJJHdyh5lkYYazoIpBtBWOYrWRDE",2)</f>
        <v/>
      </c>
      <c r="E556" s="5" t="str">
        <f>IMAGE("https://drive.google.com/uc?export=view&amp;id=1gy54tJJHdyh5lkYYazoIpBtBWOYrWRDE",1)</f>
        <v/>
      </c>
      <c r="F556" s="6" t="s">
        <v>2831</v>
      </c>
      <c r="G556" s="6" t="s">
        <v>2832</v>
      </c>
      <c r="H556" s="1" t="s">
        <v>304</v>
      </c>
      <c r="I556" s="7">
        <v>45828.54282649305</v>
      </c>
      <c r="J556" s="7">
        <v>45860.691413645836</v>
      </c>
      <c r="K556" s="1" t="s">
        <v>305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60.0" customHeight="1">
      <c r="A557" s="1" t="s">
        <v>2833</v>
      </c>
      <c r="B557" s="1" t="s">
        <v>2834</v>
      </c>
      <c r="C557" s="2" t="s">
        <v>2835</v>
      </c>
      <c r="D557" s="5" t="str">
        <f>IMAGE("https://drive.google.com/uc?export=view&amp;id=1Fia9cIwP3SGFVexKflGg1wtzasfld3Sr",2)</f>
        <v/>
      </c>
      <c r="E557" s="5" t="str">
        <f>IMAGE("https://drive.google.com/uc?export=view&amp;id=1Fia9cIwP3SGFVexKflGg1wtzasfld3Sr",1)</f>
        <v/>
      </c>
      <c r="F557" s="6" t="s">
        <v>2836</v>
      </c>
      <c r="G557" s="6" t="s">
        <v>2837</v>
      </c>
      <c r="H557" s="1" t="s">
        <v>820</v>
      </c>
      <c r="I557" s="7">
        <v>46017.51871462963</v>
      </c>
      <c r="J557" s="7">
        <v>46012.00734953704</v>
      </c>
      <c r="K557" s="1" t="s">
        <v>821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60.0" customHeight="1">
      <c r="A558" s="1" t="s">
        <v>2838</v>
      </c>
      <c r="B558" s="1" t="s">
        <v>2839</v>
      </c>
      <c r="C558" s="2" t="s">
        <v>2840</v>
      </c>
      <c r="D558" s="5" t="str">
        <f>IMAGE("https://drive.google.com/uc?export=view&amp;id=11xoSDd9mQbhNQSS9nj-6XwFt7eokp5Vg",2)</f>
        <v/>
      </c>
      <c r="E558" s="5" t="str">
        <f>IMAGE("https://drive.google.com/uc?export=view&amp;id=11xoSDd9mQbhNQSS9nj-6XwFt7eokp5Vg",1)</f>
        <v/>
      </c>
      <c r="F558" s="6" t="s">
        <v>2841</v>
      </c>
      <c r="G558" s="6" t="s">
        <v>2842</v>
      </c>
      <c r="H558" s="1" t="s">
        <v>128</v>
      </c>
      <c r="I558" s="7">
        <v>45792.40147834491</v>
      </c>
      <c r="J558" s="7">
        <v>45860.7056768287</v>
      </c>
      <c r="K558" s="1" t="s">
        <v>129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60.0" customHeight="1">
      <c r="A559" s="1" t="s">
        <v>2843</v>
      </c>
      <c r="B559" s="1" t="s">
        <v>2844</v>
      </c>
      <c r="C559" s="2" t="s">
        <v>2845</v>
      </c>
      <c r="D559" s="5" t="str">
        <f>IMAGE("https://drive.google.com/uc?export=view&amp;id=1VRLFcGq39wl0IYzyo8rBCF2CfanoyXcm",2)</f>
        <v/>
      </c>
      <c r="E559" s="5" t="str">
        <f>IMAGE("https://drive.google.com/uc?export=view&amp;id=1VRLFcGq39wl0IYzyo8rBCF2CfanoyXcm",1)</f>
        <v/>
      </c>
      <c r="F559" s="6" t="s">
        <v>2846</v>
      </c>
      <c r="G559" s="6" t="s">
        <v>2847</v>
      </c>
      <c r="H559" s="1" t="s">
        <v>128</v>
      </c>
      <c r="I559" s="7">
        <v>46017.494542071756</v>
      </c>
      <c r="J559" s="7">
        <v>46011.43701388889</v>
      </c>
      <c r="K559" s="1" t="s">
        <v>129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60.0" customHeight="1">
      <c r="A560" s="1" t="s">
        <v>2848</v>
      </c>
      <c r="B560" s="1" t="s">
        <v>2849</v>
      </c>
      <c r="C560" s="2" t="s">
        <v>2850</v>
      </c>
      <c r="D560" s="5" t="str">
        <f>IMAGE("https://drive.google.com/uc?export=view&amp;id=1pdAgi2XCRHXnX5Z-fyPCMO3sRlFpjkDM",2)</f>
        <v/>
      </c>
      <c r="E560" s="5" t="str">
        <f>IMAGE("https://drive.google.com/uc?export=view&amp;id=1pdAgi2XCRHXnX5Z-fyPCMO3sRlFpjkDM",1)</f>
        <v/>
      </c>
      <c r="F560" s="6" t="s">
        <v>2851</v>
      </c>
      <c r="G560" s="6" t="s">
        <v>2852</v>
      </c>
      <c r="H560" s="1" t="s">
        <v>30</v>
      </c>
      <c r="I560" s="7">
        <v>45897.455116516205</v>
      </c>
      <c r="J560" s="7">
        <v>45913.55158197916</v>
      </c>
      <c r="K560" s="1" t="s">
        <v>31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60.0" customHeight="1">
      <c r="A561" s="1" t="s">
        <v>2853</v>
      </c>
      <c r="B561" s="1" t="s">
        <v>2854</v>
      </c>
      <c r="C561" s="2" t="s">
        <v>2855</v>
      </c>
      <c r="D561" s="5" t="str">
        <f>IMAGE("https://drive.google.com/uc?export=view&amp;id=1lKJRbeaInwE_bcKF6DgBVjsS2C0wCxBY",2)</f>
        <v/>
      </c>
      <c r="E561" s="5" t="str">
        <f>IMAGE("https://drive.google.com/uc?export=view&amp;id=1lKJRbeaInwE_bcKF6DgBVjsS2C0wCxBY",1)</f>
        <v/>
      </c>
      <c r="F561" s="6" t="s">
        <v>2856</v>
      </c>
      <c r="G561" s="6" t="s">
        <v>2857</v>
      </c>
      <c r="H561" s="1" t="s">
        <v>30</v>
      </c>
      <c r="I561" s="7">
        <v>45897.45526423611</v>
      </c>
      <c r="J561" s="7">
        <v>45913.55176113426</v>
      </c>
      <c r="K561" s="1" t="s">
        <v>31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60.0" customHeight="1">
      <c r="A562" s="1" t="s">
        <v>2858</v>
      </c>
      <c r="B562" s="1" t="s">
        <v>2859</v>
      </c>
      <c r="C562" s="2" t="s">
        <v>2860</v>
      </c>
      <c r="D562" s="5" t="str">
        <f>IMAGE("https://drive.google.com/uc?export=view&amp;id=1Kvn_80gIEx4vDrXDnvyyDlAYHmBwpUhl",2)</f>
        <v/>
      </c>
      <c r="E562" s="5" t="str">
        <f>IMAGE("https://drive.google.com/uc?export=view&amp;id=1Kvn_80gIEx4vDrXDnvyyDlAYHmBwpUhl",1)</f>
        <v/>
      </c>
      <c r="F562" s="6" t="s">
        <v>2861</v>
      </c>
      <c r="G562" s="6" t="s">
        <v>2862</v>
      </c>
      <c r="H562" s="1" t="s">
        <v>128</v>
      </c>
      <c r="I562" s="7">
        <v>46017.49492146991</v>
      </c>
      <c r="J562" s="7">
        <v>46011.73643518519</v>
      </c>
      <c r="K562" s="1" t="s">
        <v>129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60.0" customHeight="1">
      <c r="A563" s="1" t="s">
        <v>2863</v>
      </c>
      <c r="B563" s="1" t="s">
        <v>2864</v>
      </c>
      <c r="C563" s="2" t="s">
        <v>2865</v>
      </c>
      <c r="D563" s="5" t="str">
        <f>IMAGE("https://drive.google.com/uc?export=view&amp;id=1Kl4BP3kxJnf4qsUoLq_EeSn0gXYfrHBy",2)</f>
        <v/>
      </c>
      <c r="E563" s="5" t="str">
        <f>IMAGE("https://drive.google.com/uc?export=view&amp;id=1Kl4BP3kxJnf4qsUoLq_EeSn0gXYfrHBy",1)</f>
        <v/>
      </c>
      <c r="F563" s="6" t="s">
        <v>2866</v>
      </c>
      <c r="G563" s="6" t="s">
        <v>2867</v>
      </c>
      <c r="H563" s="1" t="s">
        <v>646</v>
      </c>
      <c r="I563" s="7">
        <v>46070.87323195602</v>
      </c>
      <c r="J563" s="7">
        <v>46070.87125</v>
      </c>
      <c r="K563" s="1" t="s">
        <v>647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60.0" customHeight="1">
      <c r="A564" s="1" t="s">
        <v>2868</v>
      </c>
      <c r="B564" s="1" t="s">
        <v>2869</v>
      </c>
      <c r="C564" s="2" t="s">
        <v>2870</v>
      </c>
      <c r="D564" s="5" t="str">
        <f>IMAGE("https://drive.google.com/uc?export=view&amp;id=1qVlfX8IyFwg67xxNTIryWwoi4s0iLusw",2)</f>
        <v/>
      </c>
      <c r="E564" s="5" t="str">
        <f>IMAGE("https://drive.google.com/uc?export=view&amp;id=1qVlfX8IyFwg67xxNTIryWwoi4s0iLusw",1)</f>
        <v/>
      </c>
      <c r="F564" s="6" t="s">
        <v>2871</v>
      </c>
      <c r="G564" s="6" t="s">
        <v>2872</v>
      </c>
      <c r="H564" s="1" t="s">
        <v>16</v>
      </c>
      <c r="I564" s="7">
        <v>45890.45567778935</v>
      </c>
      <c r="J564" s="7">
        <v>45888.72368055556</v>
      </c>
      <c r="K564" s="1" t="s">
        <v>17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60.0" customHeight="1">
      <c r="A565" s="1" t="s">
        <v>2873</v>
      </c>
      <c r="B565" s="1" t="s">
        <v>2874</v>
      </c>
      <c r="C565" s="2" t="s">
        <v>2875</v>
      </c>
      <c r="D565" s="5" t="str">
        <f>IMAGE("https://drive.google.com/uc?export=view&amp;id=1AlmZ7c986ONXoaWoWSPM6LowvZiJjMfQ",2)</f>
        <v/>
      </c>
      <c r="E565" s="5" t="str">
        <f>IMAGE("https://drive.google.com/uc?export=view&amp;id=1AlmZ7c986ONXoaWoWSPM6LowvZiJjMfQ",1)</f>
        <v/>
      </c>
      <c r="F565" s="6" t="s">
        <v>2876</v>
      </c>
      <c r="G565" s="6" t="s">
        <v>2877</v>
      </c>
      <c r="H565" s="1" t="s">
        <v>23</v>
      </c>
      <c r="I565" s="7">
        <v>45898.58365305555</v>
      </c>
      <c r="J565" s="7">
        <v>45898.57775462963</v>
      </c>
      <c r="K565" s="1" t="s">
        <v>24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60.0" customHeight="1">
      <c r="A566" s="1" t="s">
        <v>2878</v>
      </c>
      <c r="B566" s="1" t="s">
        <v>2879</v>
      </c>
      <c r="C566" s="2" t="s">
        <v>2880</v>
      </c>
      <c r="D566" s="5" t="str">
        <f>IMAGE("https://drive.google.com/uc?export=view&amp;id=1Zowf2Lmuymq1lb0NHYIMUoQpeQMb2pk4",2)</f>
        <v/>
      </c>
      <c r="E566" s="5" t="str">
        <f>IMAGE("https://drive.google.com/uc?export=view&amp;id=1Zowf2Lmuymq1lb0NHYIMUoQpeQMb2pk4",1)</f>
        <v/>
      </c>
      <c r="F566" s="6" t="s">
        <v>2881</v>
      </c>
      <c r="G566" s="6" t="s">
        <v>2882</v>
      </c>
      <c r="H566" s="1" t="s">
        <v>311</v>
      </c>
      <c r="I566" s="7">
        <v>46065.97691891204</v>
      </c>
      <c r="J566" s="7">
        <v>45829.522777777776</v>
      </c>
      <c r="K566" s="1" t="s">
        <v>312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60.0" customHeight="1">
      <c r="A567" s="1" t="s">
        <v>2883</v>
      </c>
      <c r="B567" s="1" t="s">
        <v>2884</v>
      </c>
      <c r="C567" s="2" t="s">
        <v>2885</v>
      </c>
      <c r="D567" s="5" t="str">
        <f>IMAGE("https://drive.google.com/uc?export=view&amp;id=1GyS-dzeblLgHC2irRs3JmZx9dFS-kqjp",2)</f>
        <v/>
      </c>
      <c r="E567" s="5" t="str">
        <f>IMAGE("https://drive.google.com/uc?export=view&amp;id=1GyS-dzeblLgHC2irRs3JmZx9dFS-kqjp",1)</f>
        <v/>
      </c>
      <c r="F567" s="6" t="s">
        <v>2886</v>
      </c>
      <c r="G567" s="6" t="s">
        <v>2887</v>
      </c>
      <c r="H567" s="1" t="s">
        <v>2888</v>
      </c>
      <c r="I567" s="7">
        <v>45828.542953842596</v>
      </c>
      <c r="J567" s="7">
        <v>45916.75498766203</v>
      </c>
      <c r="K567" s="1" t="s">
        <v>2889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60.0" customHeight="1">
      <c r="A568" s="1" t="s">
        <v>2890</v>
      </c>
      <c r="B568" s="1" t="s">
        <v>2891</v>
      </c>
      <c r="C568" s="2" t="s">
        <v>2892</v>
      </c>
      <c r="D568" s="5" t="str">
        <f>IMAGE("https://drive.google.com/uc?export=view&amp;id=1y48fzN2p1tVhIt2H8NXOTMZizw-HH0wD",2)</f>
        <v/>
      </c>
      <c r="E568" s="5" t="str">
        <f>IMAGE("https://drive.google.com/uc?export=view&amp;id=1y48fzN2p1tVhIt2H8NXOTMZizw-HH0wD",1)</f>
        <v/>
      </c>
      <c r="F568" s="6" t="s">
        <v>2893</v>
      </c>
      <c r="G568" s="6" t="s">
        <v>2894</v>
      </c>
      <c r="H568" s="1" t="s">
        <v>2895</v>
      </c>
      <c r="I568" s="7">
        <v>45918.696399328706</v>
      </c>
      <c r="J568" s="7">
        <v>45918.69599537037</v>
      </c>
      <c r="K568" s="1" t="s">
        <v>2896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60.0" customHeight="1">
      <c r="A569" s="1" t="s">
        <v>2897</v>
      </c>
      <c r="B569" s="1" t="s">
        <v>2898</v>
      </c>
      <c r="C569" s="2" t="s">
        <v>2899</v>
      </c>
      <c r="D569" s="5" t="str">
        <f>IMAGE("https://drive.google.com/uc?export=view&amp;id=1hbTapVvIB921euQP1BLb0wwfsNNS5J06",2)</f>
        <v/>
      </c>
      <c r="E569" s="5" t="str">
        <f>IMAGE("https://drive.google.com/uc?export=view&amp;id=1hbTapVvIB921euQP1BLb0wwfsNNS5J06",1)</f>
        <v/>
      </c>
      <c r="F569" s="6" t="s">
        <v>2900</v>
      </c>
      <c r="G569" s="6" t="s">
        <v>2901</v>
      </c>
      <c r="H569" s="1" t="s">
        <v>2888</v>
      </c>
      <c r="I569" s="7">
        <v>45828.542967395835</v>
      </c>
      <c r="J569" s="7">
        <v>45897.51359282408</v>
      </c>
      <c r="K569" s="1" t="s">
        <v>2889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60.0" customHeight="1">
      <c r="A570" s="1" t="s">
        <v>2902</v>
      </c>
      <c r="B570" s="1" t="s">
        <v>2903</v>
      </c>
      <c r="C570" s="2" t="s">
        <v>2904</v>
      </c>
      <c r="D570" s="5" t="str">
        <f>IMAGE("https://drive.google.com/uc?export=view&amp;id=1qD99krjf9Feau5FOqcXNzVDrpGmUYWf5",2)</f>
        <v/>
      </c>
      <c r="E570" s="5" t="str">
        <f>IMAGE("https://drive.google.com/uc?export=view&amp;id=1qD99krjf9Feau5FOqcXNzVDrpGmUYWf5",1)</f>
        <v/>
      </c>
      <c r="F570" s="6" t="s">
        <v>2905</v>
      </c>
      <c r="G570" s="6" t="s">
        <v>2906</v>
      </c>
      <c r="H570" s="1" t="s">
        <v>2895</v>
      </c>
      <c r="I570" s="7">
        <v>45918.69640394676</v>
      </c>
      <c r="J570" s="7">
        <v>45918.69599537037</v>
      </c>
      <c r="K570" s="1" t="s">
        <v>2896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60.0" customHeight="1">
      <c r="A571" s="1" t="s">
        <v>2907</v>
      </c>
      <c r="B571" s="1" t="s">
        <v>2908</v>
      </c>
      <c r="C571" s="2" t="s">
        <v>2909</v>
      </c>
      <c r="D571" s="5" t="str">
        <f>IMAGE("https://drive.google.com/uc?export=view&amp;id=1RrKww33TsH2O98x_MsIvLg5gXkJzWsjC",2)</f>
        <v/>
      </c>
      <c r="E571" s="5" t="str">
        <f>IMAGE("https://drive.google.com/uc?export=view&amp;id=1RrKww33TsH2O98x_MsIvLg5gXkJzWsjC",1)</f>
        <v/>
      </c>
      <c r="F571" s="6" t="s">
        <v>2910</v>
      </c>
      <c r="G571" s="6" t="s">
        <v>2911</v>
      </c>
      <c r="H571" s="1" t="s">
        <v>2888</v>
      </c>
      <c r="I571" s="7">
        <v>45828.542995763884</v>
      </c>
      <c r="J571" s="7">
        <v>45857.045316620366</v>
      </c>
      <c r="K571" s="1" t="s">
        <v>2889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60.0" customHeight="1">
      <c r="A572" s="1" t="s">
        <v>2912</v>
      </c>
      <c r="B572" s="1" t="s">
        <v>2913</v>
      </c>
      <c r="C572" s="2" t="s">
        <v>2914</v>
      </c>
      <c r="D572" s="5" t="str">
        <f>IMAGE("https://drive.google.com/uc?export=view&amp;id=1-xE4uk_KscQvzWrYhKOgHpu1b8bBpKLO",2)</f>
        <v/>
      </c>
      <c r="E572" s="5" t="str">
        <f>IMAGE("https://drive.google.com/uc?export=view&amp;id=1-xE4uk_KscQvzWrYhKOgHpu1b8bBpKLO",1)</f>
        <v/>
      </c>
      <c r="F572" s="6" t="s">
        <v>2915</v>
      </c>
      <c r="G572" s="6" t="s">
        <v>2916</v>
      </c>
      <c r="H572" s="1" t="s">
        <v>2895</v>
      </c>
      <c r="I572" s="7">
        <v>45918.69640259259</v>
      </c>
      <c r="J572" s="7">
        <v>45918.69599537037</v>
      </c>
      <c r="K572" s="1" t="s">
        <v>2896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60.0" customHeight="1">
      <c r="A573" s="1" t="s">
        <v>2917</v>
      </c>
      <c r="B573" s="1" t="s">
        <v>2918</v>
      </c>
      <c r="C573" s="2" t="s">
        <v>2919</v>
      </c>
      <c r="D573" s="5" t="str">
        <f>IMAGE("https://drive.google.com/uc?export=view&amp;id=1cJ1TfMG4SlSRuLxhTtrSqSMULL1MSz01",2)</f>
        <v/>
      </c>
      <c r="E573" s="5" t="str">
        <f>IMAGE("https://drive.google.com/uc?export=view&amp;id=1cJ1TfMG4SlSRuLxhTtrSqSMULL1MSz01",1)</f>
        <v/>
      </c>
      <c r="F573" s="6" t="s">
        <v>2920</v>
      </c>
      <c r="G573" s="6" t="s">
        <v>2921</v>
      </c>
      <c r="H573" s="1" t="s">
        <v>2888</v>
      </c>
      <c r="I573" s="7">
        <v>45828.54294619213</v>
      </c>
      <c r="J573" s="7">
        <v>45996.423678252315</v>
      </c>
      <c r="K573" s="1" t="s">
        <v>2889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60.0" customHeight="1">
      <c r="A574" s="1" t="s">
        <v>2922</v>
      </c>
      <c r="B574" s="1" t="s">
        <v>2923</v>
      </c>
      <c r="C574" s="2" t="s">
        <v>2924</v>
      </c>
      <c r="D574" s="5" t="str">
        <f>IMAGE("https://drive.google.com/uc?export=view&amp;id=1-q-cKDqdv26_RCvA9seWZrjL_FokZ6Bo",2)</f>
        <v/>
      </c>
      <c r="E574" s="5" t="str">
        <f>IMAGE("https://drive.google.com/uc?export=view&amp;id=1-q-cKDqdv26_RCvA9seWZrjL_FokZ6Bo",1)</f>
        <v/>
      </c>
      <c r="F574" s="6" t="s">
        <v>2925</v>
      </c>
      <c r="G574" s="6" t="s">
        <v>2926</v>
      </c>
      <c r="H574" s="1" t="s">
        <v>2895</v>
      </c>
      <c r="I574" s="7">
        <v>45918.69640226851</v>
      </c>
      <c r="J574" s="7">
        <v>45996.42417054398</v>
      </c>
      <c r="K574" s="1" t="s">
        <v>2896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60.0" customHeight="1">
      <c r="A575" s="1" t="s">
        <v>2927</v>
      </c>
      <c r="B575" s="1" t="s">
        <v>2928</v>
      </c>
      <c r="C575" s="2" t="s">
        <v>2929</v>
      </c>
      <c r="D575" s="5" t="str">
        <f>IMAGE("https://drive.google.com/uc?export=view&amp;id=1d6uKUfdP_A4EZNUdZsT2nLxWLCV8t2Ud",2)</f>
        <v/>
      </c>
      <c r="E575" s="5" t="str">
        <f>IMAGE("https://drive.google.com/uc?export=view&amp;id=1d6uKUfdP_A4EZNUdZsT2nLxWLCV8t2Ud",1)</f>
        <v/>
      </c>
      <c r="F575" s="6" t="s">
        <v>2930</v>
      </c>
      <c r="G575" s="6" t="s">
        <v>2931</v>
      </c>
      <c r="H575" s="1" t="s">
        <v>2888</v>
      </c>
      <c r="I575" s="7">
        <v>46018.436705706015</v>
      </c>
      <c r="J575" s="7">
        <v>46018.43682905093</v>
      </c>
      <c r="K575" s="1" t="s">
        <v>2889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60.0" customHeight="1">
      <c r="A576" s="1" t="s">
        <v>2932</v>
      </c>
      <c r="B576" s="1" t="s">
        <v>2933</v>
      </c>
      <c r="C576" s="2" t="s">
        <v>2934</v>
      </c>
      <c r="D576" s="5" t="str">
        <f>IMAGE("https://drive.google.com/uc?export=view&amp;id=1iJBcpwge3caqv2PYLzpwG_o1I31C8R_W",2)</f>
        <v/>
      </c>
      <c r="E576" s="5" t="str">
        <f>IMAGE("https://drive.google.com/uc?export=view&amp;id=1iJBcpwge3caqv2PYLzpwG_o1I31C8R_W",1)</f>
        <v/>
      </c>
      <c r="F576" s="6" t="s">
        <v>2935</v>
      </c>
      <c r="G576" s="6" t="s">
        <v>2936</v>
      </c>
      <c r="H576" s="1" t="s">
        <v>2895</v>
      </c>
      <c r="I576" s="7">
        <v>46018.43789021991</v>
      </c>
      <c r="J576" s="7">
        <v>46018.43957577547</v>
      </c>
      <c r="K576" s="1" t="s">
        <v>2896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60.0" customHeight="1">
      <c r="A577" s="1" t="s">
        <v>2937</v>
      </c>
      <c r="B577" s="1" t="s">
        <v>2938</v>
      </c>
      <c r="C577" s="2" t="s">
        <v>2939</v>
      </c>
      <c r="D577" s="5" t="str">
        <f>IMAGE("https://drive.google.com/uc?export=view&amp;id=1n3kqCUclHLi-WtdugGluQYzbuCpCFO4O",2)</f>
        <v/>
      </c>
      <c r="E577" s="5" t="str">
        <f>IMAGE("https://drive.google.com/uc?export=view&amp;id=1n3kqCUclHLi-WtdugGluQYzbuCpCFO4O",1)</f>
        <v/>
      </c>
      <c r="F577" s="6" t="s">
        <v>2940</v>
      </c>
      <c r="G577" s="6" t="s">
        <v>2941</v>
      </c>
      <c r="H577" s="1" t="s">
        <v>2888</v>
      </c>
      <c r="I577" s="7">
        <v>45828.54288784722</v>
      </c>
      <c r="J577" s="7">
        <v>45857.04528056713</v>
      </c>
      <c r="K577" s="1" t="s">
        <v>2889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60.0" customHeight="1">
      <c r="A578" s="1" t="s">
        <v>2942</v>
      </c>
      <c r="B578" s="1" t="s">
        <v>2943</v>
      </c>
      <c r="C578" s="2" t="s">
        <v>2944</v>
      </c>
      <c r="D578" s="5" t="str">
        <f>IMAGE("https://drive.google.com/uc?export=view&amp;id=1Vsx9du_yahX0gW7MkTqvOq8vU0_VMlJ4",2)</f>
        <v/>
      </c>
      <c r="E578" s="5" t="str">
        <f>IMAGE("https://drive.google.com/uc?export=view&amp;id=1Vsx9du_yahX0gW7MkTqvOq8vU0_VMlJ4",1)</f>
        <v/>
      </c>
      <c r="F578" s="6" t="s">
        <v>2945</v>
      </c>
      <c r="G578" s="6" t="s">
        <v>2946</v>
      </c>
      <c r="H578" s="1" t="s">
        <v>2895</v>
      </c>
      <c r="I578" s="7">
        <v>45918.69640298611</v>
      </c>
      <c r="J578" s="7">
        <v>45918.69599537037</v>
      </c>
      <c r="K578" s="1" t="s">
        <v>2896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60.0" customHeight="1">
      <c r="A579" s="1" t="s">
        <v>2947</v>
      </c>
      <c r="B579" s="1" t="s">
        <v>2948</v>
      </c>
      <c r="C579" s="2" t="s">
        <v>2949</v>
      </c>
      <c r="D579" s="5" t="str">
        <f>IMAGE("https://drive.google.com/uc?export=view&amp;id=1BqdyrvcNdlger8-03gAha6jXCEHGFeCr",2)</f>
        <v/>
      </c>
      <c r="E579" s="5" t="str">
        <f>IMAGE("https://drive.google.com/uc?export=view&amp;id=1BqdyrvcNdlger8-03gAha6jXCEHGFeCr",1)</f>
        <v/>
      </c>
      <c r="F579" s="6" t="s">
        <v>2950</v>
      </c>
      <c r="G579" s="6" t="s">
        <v>2951</v>
      </c>
      <c r="H579" s="1" t="s">
        <v>2888</v>
      </c>
      <c r="I579" s="7">
        <v>45860.69120497685</v>
      </c>
      <c r="J579" s="7">
        <v>45897.5142969213</v>
      </c>
      <c r="K579" s="1" t="s">
        <v>2889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60.0" customHeight="1">
      <c r="A580" s="1" t="s">
        <v>2952</v>
      </c>
      <c r="B580" s="1" t="s">
        <v>2953</v>
      </c>
      <c r="C580" s="2" t="s">
        <v>2954</v>
      </c>
      <c r="D580" s="5" t="str">
        <f>IMAGE("https://drive.google.com/uc?export=view&amp;id=18-FGt-x-lQV20mzqNiDle0UiTgXGdBN1",2)</f>
        <v/>
      </c>
      <c r="E580" s="5" t="str">
        <f>IMAGE("https://drive.google.com/uc?export=view&amp;id=18-FGt-x-lQV20mzqNiDle0UiTgXGdBN1",1)</f>
        <v/>
      </c>
      <c r="F580" s="6" t="s">
        <v>2955</v>
      </c>
      <c r="G580" s="6" t="s">
        <v>2956</v>
      </c>
      <c r="H580" s="1" t="s">
        <v>2895</v>
      </c>
      <c r="I580" s="7">
        <v>45918.696401319445</v>
      </c>
      <c r="J580" s="7">
        <v>45918.69599537037</v>
      </c>
      <c r="K580" s="1" t="s">
        <v>2896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60.0" customHeight="1">
      <c r="A581" s="1" t="s">
        <v>2957</v>
      </c>
      <c r="B581" s="1" t="s">
        <v>2958</v>
      </c>
      <c r="C581" s="2" t="s">
        <v>2959</v>
      </c>
      <c r="D581" s="5" t="str">
        <f>IMAGE("https://drive.google.com/uc?export=view&amp;id=13_TbWngxs7mjrlKOLUc7uVQGc2pdphlP",2)</f>
        <v/>
      </c>
      <c r="E581" s="5" t="str">
        <f>IMAGE("https://drive.google.com/uc?export=view&amp;id=13_TbWngxs7mjrlKOLUc7uVQGc2pdphlP",1)</f>
        <v/>
      </c>
      <c r="F581" s="6" t="s">
        <v>2960</v>
      </c>
      <c r="G581" s="6" t="s">
        <v>2961</v>
      </c>
      <c r="H581" s="1" t="s">
        <v>2888</v>
      </c>
      <c r="I581" s="7">
        <v>45828.542877245374</v>
      </c>
      <c r="J581" s="7">
        <v>45857.045149363425</v>
      </c>
      <c r="K581" s="1" t="s">
        <v>2889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60.0" customHeight="1">
      <c r="A582" s="1" t="s">
        <v>2962</v>
      </c>
      <c r="B582" s="1" t="s">
        <v>2963</v>
      </c>
      <c r="C582" s="2" t="s">
        <v>2964</v>
      </c>
      <c r="D582" s="5" t="str">
        <f>IMAGE("https://drive.google.com/uc?export=view&amp;id=1MUVDQk31efybU5LvyWoxMLROX4qjl3Rx",2)</f>
        <v/>
      </c>
      <c r="E582" s="5" t="str">
        <f>IMAGE("https://drive.google.com/uc?export=view&amp;id=1MUVDQk31efybU5LvyWoxMLROX4qjl3Rx",1)</f>
        <v/>
      </c>
      <c r="F582" s="6" t="s">
        <v>2965</v>
      </c>
      <c r="G582" s="6" t="s">
        <v>2966</v>
      </c>
      <c r="H582" s="1" t="s">
        <v>2895</v>
      </c>
      <c r="I582" s="7">
        <v>45918.696401493056</v>
      </c>
      <c r="J582" s="7">
        <v>45918.69599537037</v>
      </c>
      <c r="K582" s="1" t="s">
        <v>2896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60.0" customHeight="1">
      <c r="A583" s="1" t="s">
        <v>2967</v>
      </c>
      <c r="B583" s="1" t="s">
        <v>2968</v>
      </c>
      <c r="C583" s="2" t="s">
        <v>2969</v>
      </c>
      <c r="D583" s="5" t="str">
        <f>IMAGE("https://drive.google.com/uc?export=view&amp;id=1zqGQfNbAkYCNdsMSdssDdpoI2HHhY_At",2)</f>
        <v/>
      </c>
      <c r="E583" s="5" t="str">
        <f>IMAGE("https://drive.google.com/uc?export=view&amp;id=1zqGQfNbAkYCNdsMSdssDdpoI2HHhY_At",1)</f>
        <v/>
      </c>
      <c r="F583" s="6" t="s">
        <v>2970</v>
      </c>
      <c r="G583" s="6" t="s">
        <v>2971</v>
      </c>
      <c r="H583" s="1" t="s">
        <v>311</v>
      </c>
      <c r="I583" s="7">
        <v>46069.9112105324</v>
      </c>
      <c r="J583" s="7">
        <v>46069.90793981482</v>
      </c>
      <c r="K583" s="1" t="s">
        <v>312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60.0" customHeight="1">
      <c r="A584" s="1" t="s">
        <v>2972</v>
      </c>
      <c r="B584" s="1" t="s">
        <v>2973</v>
      </c>
      <c r="C584" s="2" t="s">
        <v>2974</v>
      </c>
      <c r="D584" s="5" t="str">
        <f>IMAGE("https://drive.google.com/uc?export=view&amp;id=1I2SY4RhVSMRdBm-oSheMvq6cdc7PTuku",2)</f>
        <v/>
      </c>
      <c r="E584" s="5" t="str">
        <f>IMAGE("https://drive.google.com/uc?export=view&amp;id=1I2SY4RhVSMRdBm-oSheMvq6cdc7PTuku",1)</f>
        <v/>
      </c>
      <c r="F584" s="6" t="s">
        <v>2975</v>
      </c>
      <c r="G584" s="6" t="s">
        <v>2976</v>
      </c>
      <c r="H584" s="1" t="s">
        <v>2888</v>
      </c>
      <c r="I584" s="7">
        <v>45828.54288824074</v>
      </c>
      <c r="J584" s="7">
        <v>45996.42342024305</v>
      </c>
      <c r="K584" s="1" t="s">
        <v>2889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60.0" customHeight="1">
      <c r="A585" s="1" t="s">
        <v>2977</v>
      </c>
      <c r="B585" s="1" t="s">
        <v>2978</v>
      </c>
      <c r="C585" s="2" t="s">
        <v>2979</v>
      </c>
      <c r="D585" s="5" t="str">
        <f>IMAGE("https://drive.google.com/uc?export=view&amp;id=1JFmorJre-o92msS7CH6dDEHirY_zOZrD",2)</f>
        <v/>
      </c>
      <c r="E585" s="5" t="str">
        <f>IMAGE("https://drive.google.com/uc?export=view&amp;id=1JFmorJre-o92msS7CH6dDEHirY_zOZrD",1)</f>
        <v/>
      </c>
      <c r="F585" s="6" t="s">
        <v>2980</v>
      </c>
      <c r="G585" s="6" t="s">
        <v>2981</v>
      </c>
      <c r="H585" s="1" t="s">
        <v>2895</v>
      </c>
      <c r="I585" s="7">
        <v>45918.69640341435</v>
      </c>
      <c r="J585" s="7">
        <v>45996.42402177083</v>
      </c>
      <c r="K585" s="1" t="s">
        <v>2896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60.0" customHeight="1">
      <c r="A586" s="1" t="s">
        <v>2982</v>
      </c>
      <c r="B586" s="1" t="s">
        <v>2983</v>
      </c>
      <c r="C586" s="2" t="s">
        <v>2984</v>
      </c>
      <c r="D586" s="5" t="str">
        <f>IMAGE("https://drive.google.com/uc?export=view&amp;id=1Ewyrf2e2SOD5OrLKhqOH6Q91O7hhDNt3",2)</f>
        <v/>
      </c>
      <c r="E586" s="5" t="str">
        <f>IMAGE("https://drive.google.com/uc?export=view&amp;id=1Ewyrf2e2SOD5OrLKhqOH6Q91O7hhDNt3",1)</f>
        <v/>
      </c>
      <c r="F586" s="6" t="s">
        <v>2985</v>
      </c>
      <c r="G586" s="6" t="s">
        <v>2986</v>
      </c>
      <c r="H586" s="1" t="s">
        <v>311</v>
      </c>
      <c r="I586" s="7">
        <v>46065.9769978125</v>
      </c>
      <c r="J586" s="7">
        <v>45997.68486111111</v>
      </c>
      <c r="K586" s="1" t="s">
        <v>312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60.0" customHeight="1">
      <c r="A587" s="1" t="s">
        <v>2987</v>
      </c>
      <c r="B587" s="1" t="s">
        <v>2988</v>
      </c>
      <c r="C587" s="2" t="s">
        <v>2989</v>
      </c>
      <c r="D587" s="5" t="str">
        <f>IMAGE("https://drive.google.com/uc?export=view&amp;id=1o5zyKEAxalDdAAVG53zVutaaJrUxf1AB",2)</f>
        <v/>
      </c>
      <c r="E587" s="5" t="str">
        <f>IMAGE("https://drive.google.com/uc?export=view&amp;id=1o5zyKEAxalDdAAVG53zVutaaJrUxf1AB",1)</f>
        <v/>
      </c>
      <c r="F587" s="6" t="s">
        <v>2990</v>
      </c>
      <c r="G587" s="6" t="s">
        <v>2991</v>
      </c>
      <c r="H587" s="1" t="s">
        <v>2888</v>
      </c>
      <c r="I587" s="7">
        <v>45828.54294921296</v>
      </c>
      <c r="J587" s="7">
        <v>45916.755082800926</v>
      </c>
      <c r="K587" s="1" t="s">
        <v>2889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60.0" customHeight="1">
      <c r="A588" s="1" t="s">
        <v>2992</v>
      </c>
      <c r="B588" s="1" t="s">
        <v>2993</v>
      </c>
      <c r="C588" s="2" t="s">
        <v>2994</v>
      </c>
      <c r="D588" s="5" t="str">
        <f>IMAGE("https://drive.google.com/uc?export=view&amp;id=1_K8CksfE3yFGnH0qXYe_PbWENxKLDobX",2)</f>
        <v/>
      </c>
      <c r="E588" s="5" t="str">
        <f>IMAGE("https://drive.google.com/uc?export=view&amp;id=1_K8CksfE3yFGnH0qXYe_PbWENxKLDobX",1)</f>
        <v/>
      </c>
      <c r="F588" s="6" t="s">
        <v>2995</v>
      </c>
      <c r="G588" s="6" t="s">
        <v>2996</v>
      </c>
      <c r="H588" s="1" t="s">
        <v>2895</v>
      </c>
      <c r="I588" s="7">
        <v>45918.69639758102</v>
      </c>
      <c r="J588" s="7">
        <v>45918.69599537037</v>
      </c>
      <c r="K588" s="1" t="s">
        <v>2896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60.0" customHeight="1">
      <c r="A589" s="1" t="s">
        <v>2997</v>
      </c>
      <c r="B589" s="1" t="s">
        <v>2998</v>
      </c>
      <c r="C589" s="2" t="s">
        <v>2999</v>
      </c>
      <c r="D589" s="5" t="str">
        <f>IMAGE("https://drive.google.com/uc?export=view&amp;id=1AvVPrirI7FFgT6Z2Rx7qNsnE1yftWn4c",2)</f>
        <v/>
      </c>
      <c r="E589" s="5" t="str">
        <f>IMAGE("https://drive.google.com/uc?export=view&amp;id=1AvVPrirI7FFgT6Z2Rx7qNsnE1yftWn4c",1)</f>
        <v/>
      </c>
      <c r="F589" s="6" t="s">
        <v>3000</v>
      </c>
      <c r="G589" s="6" t="s">
        <v>3001</v>
      </c>
      <c r="H589" s="1" t="s">
        <v>311</v>
      </c>
      <c r="I589" s="7">
        <v>46065.977139375</v>
      </c>
      <c r="J589" s="7">
        <v>45997.66726851852</v>
      </c>
      <c r="K589" s="1" t="s">
        <v>312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60.0" customHeight="1">
      <c r="A590" s="1" t="s">
        <v>3002</v>
      </c>
      <c r="B590" s="1" t="s">
        <v>3003</v>
      </c>
      <c r="C590" s="2" t="s">
        <v>3004</v>
      </c>
      <c r="D590" s="5" t="str">
        <f>IMAGE("https://drive.google.com/uc?export=view&amp;id=1aaX4d0zb2v9__4N8WtjR9fGi0mczrhiP",2)</f>
        <v/>
      </c>
      <c r="E590" s="5" t="str">
        <f>IMAGE("https://drive.google.com/uc?export=view&amp;id=1aaX4d0zb2v9__4N8WtjR9fGi0mczrhiP",1)</f>
        <v/>
      </c>
      <c r="F590" s="6" t="s">
        <v>3005</v>
      </c>
      <c r="G590" s="6" t="s">
        <v>3006</v>
      </c>
      <c r="H590" s="1" t="s">
        <v>2888</v>
      </c>
      <c r="I590" s="7">
        <v>45828.54293024306</v>
      </c>
      <c r="J590" s="7">
        <v>45996.42351432871</v>
      </c>
      <c r="K590" s="1" t="s">
        <v>2889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60.0" customHeight="1">
      <c r="A591" s="1" t="s">
        <v>3007</v>
      </c>
      <c r="B591" s="1" t="s">
        <v>3008</v>
      </c>
      <c r="C591" s="2" t="s">
        <v>3009</v>
      </c>
      <c r="D591" s="5" t="str">
        <f>IMAGE("https://drive.google.com/uc?export=view&amp;id=183cg9bZjrkazJvPle-9jGX5del2eOW7F",2)</f>
        <v/>
      </c>
      <c r="E591" s="5" t="str">
        <f>IMAGE("https://drive.google.com/uc?export=view&amp;id=183cg9bZjrkazJvPle-9jGX5del2eOW7F",1)</f>
        <v/>
      </c>
      <c r="F591" s="6" t="s">
        <v>3010</v>
      </c>
      <c r="G591" s="6" t="s">
        <v>3011</v>
      </c>
      <c r="H591" s="1" t="s">
        <v>2895</v>
      </c>
      <c r="I591" s="7">
        <v>45918.69639894676</v>
      </c>
      <c r="J591" s="7">
        <v>45996.42433634259</v>
      </c>
      <c r="K591" s="1" t="s">
        <v>2896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60.0" customHeight="1">
      <c r="A592" s="1" t="s">
        <v>3012</v>
      </c>
      <c r="B592" s="1" t="s">
        <v>3013</v>
      </c>
      <c r="C592" s="2" t="s">
        <v>3014</v>
      </c>
      <c r="D592" s="5" t="str">
        <f>IMAGE("https://drive.google.com/uc?export=view&amp;id=1P658A44QNy1JbzGtS2X6IZzwTqsMfZdY",2)</f>
        <v/>
      </c>
      <c r="E592" s="5" t="str">
        <f>IMAGE("https://drive.google.com/uc?export=view&amp;id=1P658A44QNy1JbzGtS2X6IZzwTqsMfZdY",1)</f>
        <v/>
      </c>
      <c r="F592" s="6" t="s">
        <v>3015</v>
      </c>
      <c r="G592" s="6" t="s">
        <v>3016</v>
      </c>
      <c r="H592" s="1" t="s">
        <v>114</v>
      </c>
      <c r="I592" s="7">
        <v>45828.54995681713</v>
      </c>
      <c r="J592" s="7">
        <v>45857.04504319445</v>
      </c>
      <c r="K592" s="1" t="s">
        <v>115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60.0" customHeight="1">
      <c r="A593" s="1" t="s">
        <v>3017</v>
      </c>
      <c r="B593" s="1" t="s">
        <v>3018</v>
      </c>
      <c r="C593" s="2" t="s">
        <v>3019</v>
      </c>
      <c r="D593" s="5" t="str">
        <f>IMAGE("https://drive.google.com/uc?export=view&amp;id=1wTjG7bS5fsrQxICeY7sjExpzsRLiI6PC",2)</f>
        <v/>
      </c>
      <c r="E593" s="5" t="str">
        <f>IMAGE("https://drive.google.com/uc?export=view&amp;id=1wTjG7bS5fsrQxICeY7sjExpzsRLiI6PC",1)</f>
        <v/>
      </c>
      <c r="F593" s="6" t="s">
        <v>3020</v>
      </c>
      <c r="G593" s="6" t="s">
        <v>3021</v>
      </c>
      <c r="H593" s="1" t="s">
        <v>16</v>
      </c>
      <c r="I593" s="7">
        <v>45873.51145424768</v>
      </c>
      <c r="J593" s="7">
        <v>45890.46160141204</v>
      </c>
      <c r="K593" s="1" t="s">
        <v>17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60.0" customHeight="1">
      <c r="A594" s="1" t="s">
        <v>3022</v>
      </c>
      <c r="B594" s="1" t="s">
        <v>3023</v>
      </c>
      <c r="C594" s="2" t="s">
        <v>3024</v>
      </c>
      <c r="D594" s="5" t="str">
        <f>IMAGE("https://drive.google.com/uc?export=view&amp;id=1Hf86v8dR73sPBmoagMZ9Xt4E9oefslaj",2)</f>
        <v/>
      </c>
      <c r="E594" s="5" t="str">
        <f>IMAGE("https://drive.google.com/uc?export=view&amp;id=1Hf86v8dR73sPBmoagMZ9Xt4E9oefslaj",1)</f>
        <v/>
      </c>
      <c r="F594" s="6" t="s">
        <v>3025</v>
      </c>
      <c r="G594" s="6" t="s">
        <v>3026</v>
      </c>
      <c r="H594" s="1" t="s">
        <v>23</v>
      </c>
      <c r="I594" s="7">
        <v>45898.58367354167</v>
      </c>
      <c r="J594" s="7">
        <v>45898.57775462963</v>
      </c>
      <c r="K594" s="1" t="s">
        <v>24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60.0" customHeight="1">
      <c r="A595" s="1" t="s">
        <v>3027</v>
      </c>
      <c r="B595" s="1" t="s">
        <v>3028</v>
      </c>
      <c r="C595" s="2" t="s">
        <v>3029</v>
      </c>
      <c r="D595" s="5" t="str">
        <f>IMAGE("https://drive.google.com/uc?export=view&amp;id=151b8KqXM0ISEVszvMMY7zUHYTgmPcYwg",2)</f>
        <v/>
      </c>
      <c r="E595" s="5" t="str">
        <f>IMAGE("https://drive.google.com/uc?export=view&amp;id=151b8KqXM0ISEVszvMMY7zUHYTgmPcYwg",1)</f>
        <v/>
      </c>
      <c r="F595" s="6" t="s">
        <v>3030</v>
      </c>
      <c r="G595" s="6" t="s">
        <v>3031</v>
      </c>
      <c r="H595" s="1" t="s">
        <v>114</v>
      </c>
      <c r="I595" s="7">
        <v>45828.550101458335</v>
      </c>
      <c r="J595" s="7">
        <v>45860.7058324074</v>
      </c>
      <c r="K595" s="1" t="s">
        <v>115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60.0" customHeight="1">
      <c r="A596" s="1" t="s">
        <v>3032</v>
      </c>
      <c r="B596" s="1" t="s">
        <v>3033</v>
      </c>
      <c r="C596" s="2" t="s">
        <v>3034</v>
      </c>
      <c r="D596" s="5" t="str">
        <f>IMAGE("https://drive.google.com/uc?export=view&amp;id=1iNdvN0R81KrDs2joU2fm990eZ-iOK2gI",2)</f>
        <v/>
      </c>
      <c r="E596" s="5" t="str">
        <f>IMAGE("https://drive.google.com/uc?export=view&amp;id=1iNdvN0R81KrDs2joU2fm990eZ-iOK2gI",1)</f>
        <v/>
      </c>
      <c r="F596" s="6" t="s">
        <v>3035</v>
      </c>
      <c r="G596" s="6" t="s">
        <v>3036</v>
      </c>
      <c r="H596" s="1" t="s">
        <v>820</v>
      </c>
      <c r="I596" s="7">
        <v>46017.51885173611</v>
      </c>
      <c r="J596" s="7">
        <v>46012.71332175926</v>
      </c>
      <c r="K596" s="1" t="s">
        <v>821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60.0" customHeight="1">
      <c r="A597" s="1" t="s">
        <v>3037</v>
      </c>
      <c r="B597" s="1" t="s">
        <v>3038</v>
      </c>
      <c r="C597" s="2" t="s">
        <v>3039</v>
      </c>
      <c r="D597" s="5" t="str">
        <f>IMAGE("https://drive.google.com/uc?export=view&amp;id=1urVxW8YFKfGkR1kScFDoRTLjJYm7WU4F",2)</f>
        <v/>
      </c>
      <c r="E597" s="5" t="str">
        <f>IMAGE("https://drive.google.com/uc?export=view&amp;id=1urVxW8YFKfGkR1kScFDoRTLjJYm7WU4F",1)</f>
        <v/>
      </c>
      <c r="F597" s="6" t="s">
        <v>3040</v>
      </c>
      <c r="G597" s="6" t="s">
        <v>3041</v>
      </c>
      <c r="H597" s="1" t="s">
        <v>30</v>
      </c>
      <c r="I597" s="7">
        <v>45897.45542239583</v>
      </c>
      <c r="J597" s="7">
        <v>45913.55193391204</v>
      </c>
      <c r="K597" s="1" t="s">
        <v>31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60.0" customHeight="1">
      <c r="A598" s="1" t="s">
        <v>3042</v>
      </c>
      <c r="B598" s="1" t="s">
        <v>3043</v>
      </c>
      <c r="C598" s="2" t="s">
        <v>3044</v>
      </c>
      <c r="D598" s="5" t="str">
        <f>IMAGE("https://drive.google.com/uc?export=view&amp;id=1J_4San7Y_Gbt5FCDgNq7GbaP1WLg9YGM",2)</f>
        <v/>
      </c>
      <c r="E598" s="5" t="str">
        <f>IMAGE("https://drive.google.com/uc?export=view&amp;id=1J_4San7Y_Gbt5FCDgNq7GbaP1WLg9YGM",1)</f>
        <v/>
      </c>
      <c r="F598" s="6" t="s">
        <v>3045</v>
      </c>
      <c r="G598" s="6" t="s">
        <v>3046</v>
      </c>
      <c r="H598" s="1" t="s">
        <v>16</v>
      </c>
      <c r="I598" s="7">
        <v>45872.78297612269</v>
      </c>
      <c r="J598" s="7">
        <v>45890.46170180556</v>
      </c>
      <c r="K598" s="1" t="s">
        <v>17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60.0" customHeight="1">
      <c r="A599" s="1" t="s">
        <v>3047</v>
      </c>
      <c r="B599" s="1" t="s">
        <v>3048</v>
      </c>
      <c r="C599" s="2" t="s">
        <v>3049</v>
      </c>
      <c r="D599" s="5" t="str">
        <f>IMAGE("https://drive.google.com/uc?export=view&amp;id=1DpkxwDSF9Iv9ktN2ue5WTmBu_HFK2hfH",2)</f>
        <v/>
      </c>
      <c r="E599" s="5" t="str">
        <f>IMAGE("https://drive.google.com/uc?export=view&amp;id=1DpkxwDSF9Iv9ktN2ue5WTmBu_HFK2hfH",1)</f>
        <v/>
      </c>
      <c r="F599" s="6" t="s">
        <v>3050</v>
      </c>
      <c r="G599" s="6" t="s">
        <v>3051</v>
      </c>
      <c r="H599" s="1" t="s">
        <v>23</v>
      </c>
      <c r="I599" s="7">
        <v>45898.5836950463</v>
      </c>
      <c r="J599" s="7">
        <v>45898.57775462963</v>
      </c>
      <c r="K599" s="1" t="s">
        <v>24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60.0" customHeight="1">
      <c r="A600" s="1" t="s">
        <v>3052</v>
      </c>
      <c r="B600" s="1" t="s">
        <v>3053</v>
      </c>
      <c r="C600" s="2" t="s">
        <v>3054</v>
      </c>
      <c r="D600" s="5" t="str">
        <f>IMAGE("https://drive.google.com/uc?export=view&amp;id=1_KMU5Ce_i9xX1QyaW4mwU_VE-I4fa-We",2)</f>
        <v/>
      </c>
      <c r="E600" s="5" t="str">
        <f>IMAGE("https://drive.google.com/uc?export=view&amp;id=1_KMU5Ce_i9xX1QyaW4mwU_VE-I4fa-We",1)</f>
        <v/>
      </c>
      <c r="F600" s="6" t="s">
        <v>3055</v>
      </c>
      <c r="G600" s="6" t="s">
        <v>3056</v>
      </c>
      <c r="H600" s="1" t="s">
        <v>16</v>
      </c>
      <c r="I600" s="7">
        <v>45873.51244576389</v>
      </c>
      <c r="J600" s="7">
        <v>45890.47022275463</v>
      </c>
      <c r="K600" s="1" t="s">
        <v>17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60.0" customHeight="1">
      <c r="A601" s="1" t="s">
        <v>3057</v>
      </c>
      <c r="B601" s="1" t="s">
        <v>3058</v>
      </c>
      <c r="C601" s="2" t="s">
        <v>3059</v>
      </c>
      <c r="D601" s="5" t="str">
        <f>IMAGE("https://drive.google.com/uc?export=view&amp;id=1wLd7wwo_SrVuvUuMHDrYjFz-waIOCLZx",2)</f>
        <v/>
      </c>
      <c r="E601" s="5" t="str">
        <f>IMAGE("https://drive.google.com/uc?export=view&amp;id=1wLd7wwo_SrVuvUuMHDrYjFz-waIOCLZx",1)</f>
        <v/>
      </c>
      <c r="F601" s="6" t="s">
        <v>3060</v>
      </c>
      <c r="G601" s="6" t="s">
        <v>3061</v>
      </c>
      <c r="H601" s="1" t="s">
        <v>23</v>
      </c>
      <c r="I601" s="7">
        <v>45898.58372115741</v>
      </c>
      <c r="J601" s="7">
        <v>45898.57775462963</v>
      </c>
      <c r="K601" s="1" t="s">
        <v>24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60.0" customHeight="1">
      <c r="A602" s="1" t="s">
        <v>3062</v>
      </c>
      <c r="B602" s="1" t="s">
        <v>3063</v>
      </c>
      <c r="C602" s="2" t="s">
        <v>3064</v>
      </c>
      <c r="D602" s="5" t="str">
        <f>IMAGE("https://drive.google.com/uc?export=view&amp;id=1XpuIwDNerGz02ymCsqx-EMdNxkg2-peV",2)</f>
        <v/>
      </c>
      <c r="E602" s="5" t="str">
        <f>IMAGE("https://drive.google.com/uc?export=view&amp;id=1XpuIwDNerGz02ymCsqx-EMdNxkg2-peV",1)</f>
        <v/>
      </c>
      <c r="F602" s="6" t="s">
        <v>3065</v>
      </c>
      <c r="G602" s="6" t="s">
        <v>3066</v>
      </c>
      <c r="H602" s="1" t="s">
        <v>30</v>
      </c>
      <c r="I602" s="7">
        <v>45897.45851505787</v>
      </c>
      <c r="J602" s="7">
        <v>45913.55533055555</v>
      </c>
      <c r="K602" s="1" t="s">
        <v>31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60.0" customHeight="1">
      <c r="A603" s="1" t="s">
        <v>3067</v>
      </c>
      <c r="B603" s="1" t="s">
        <v>3068</v>
      </c>
      <c r="C603" s="2" t="s">
        <v>3069</v>
      </c>
      <c r="D603" s="5" t="str">
        <f>IMAGE("https://drive.google.com/uc?export=view&amp;id=1DON8yDuOUzdLdlFtsygdn-OFXp5kD5jR",2)</f>
        <v/>
      </c>
      <c r="E603" s="5" t="str">
        <f>IMAGE("https://drive.google.com/uc?export=view&amp;id=1DON8yDuOUzdLdlFtsygdn-OFXp5kD5jR",1)</f>
        <v/>
      </c>
      <c r="F603" s="6" t="s">
        <v>3070</v>
      </c>
      <c r="G603" s="6" t="s">
        <v>3071</v>
      </c>
      <c r="H603" s="1" t="s">
        <v>70</v>
      </c>
      <c r="I603" s="7">
        <v>45868.707194699076</v>
      </c>
      <c r="J603" s="7">
        <v>45868.707260717594</v>
      </c>
      <c r="K603" s="1" t="s">
        <v>71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60.0" customHeight="1">
      <c r="A604" s="1" t="s">
        <v>3072</v>
      </c>
      <c r="B604" s="1" t="s">
        <v>3073</v>
      </c>
      <c r="C604" s="2" t="s">
        <v>3074</v>
      </c>
      <c r="D604" s="5" t="str">
        <f>IMAGE("https://drive.google.com/uc?export=view&amp;id=16rnqz5QEAbVYDfscoo686-dGPcNxCzIA",2)</f>
        <v/>
      </c>
      <c r="E604" s="5" t="str">
        <f>IMAGE("https://drive.google.com/uc?export=view&amp;id=16rnqz5QEAbVYDfscoo686-dGPcNxCzIA",1)</f>
        <v/>
      </c>
      <c r="F604" s="6" t="s">
        <v>3075</v>
      </c>
      <c r="G604" s="6" t="s">
        <v>3076</v>
      </c>
      <c r="H604" s="1" t="s">
        <v>114</v>
      </c>
      <c r="I604" s="7">
        <v>45828.54287063658</v>
      </c>
      <c r="J604" s="7">
        <v>45860.417553217594</v>
      </c>
      <c r="K604" s="1" t="s">
        <v>115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60.0" customHeight="1">
      <c r="A605" s="1" t="s">
        <v>3077</v>
      </c>
      <c r="B605" s="1" t="s">
        <v>3078</v>
      </c>
      <c r="C605" s="2" t="s">
        <v>3079</v>
      </c>
      <c r="D605" s="5" t="str">
        <f>IMAGE("https://drive.google.com/uc?export=view&amp;id=1lGCsr9mAZVc4EUIiBOAaEMFH07t3UCfH",2)</f>
        <v/>
      </c>
      <c r="E605" s="5" t="str">
        <f>IMAGE("https://drive.google.com/uc?export=view&amp;id=1lGCsr9mAZVc4EUIiBOAaEMFH07t3UCfH",1)</f>
        <v/>
      </c>
      <c r="F605" s="6" t="s">
        <v>3080</v>
      </c>
      <c r="G605" s="6" t="s">
        <v>3081</v>
      </c>
      <c r="H605" s="1" t="s">
        <v>114</v>
      </c>
      <c r="I605" s="7">
        <v>45828.55024039352</v>
      </c>
      <c r="J605" s="7">
        <v>45857.04490565972</v>
      </c>
      <c r="K605" s="1" t="s">
        <v>115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60.0" customHeight="1">
      <c r="A606" s="1" t="s">
        <v>3082</v>
      </c>
      <c r="B606" s="1" t="s">
        <v>3083</v>
      </c>
      <c r="C606" s="2" t="s">
        <v>3084</v>
      </c>
      <c r="D606" s="5" t="str">
        <f>IMAGE("https://drive.google.com/uc?export=view&amp;id=10wKdlnynIu_--RaOOPEwJ2KEZ9LNtLO6",2)</f>
        <v/>
      </c>
      <c r="E606" s="5" t="str">
        <f>IMAGE("https://drive.google.com/uc?export=view&amp;id=10wKdlnynIu_--RaOOPEwJ2KEZ9LNtLO6",1)</f>
        <v/>
      </c>
      <c r="F606" s="6" t="s">
        <v>3085</v>
      </c>
      <c r="G606" s="6" t="s">
        <v>3086</v>
      </c>
      <c r="H606" s="1" t="s">
        <v>92</v>
      </c>
      <c r="I606" s="7">
        <v>45841.51968600694</v>
      </c>
      <c r="J606" s="7">
        <v>45860.70684028935</v>
      </c>
      <c r="K606" s="1" t="s">
        <v>93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60.0" customHeight="1">
      <c r="A607" s="1" t="s">
        <v>3087</v>
      </c>
      <c r="B607" s="1" t="s">
        <v>3088</v>
      </c>
      <c r="C607" s="2" t="s">
        <v>3089</v>
      </c>
      <c r="D607" s="5" t="str">
        <f>IMAGE("https://drive.google.com/uc?export=view&amp;id=1-9OyAK5wbtycstrN7fMATDNhJ1QhppXg",2)</f>
        <v/>
      </c>
      <c r="E607" s="5" t="str">
        <f>IMAGE("https://drive.google.com/uc?export=view&amp;id=1-9OyAK5wbtycstrN7fMATDNhJ1QhppXg",1)</f>
        <v/>
      </c>
      <c r="F607" s="6" t="s">
        <v>3090</v>
      </c>
      <c r="G607" s="6" t="s">
        <v>3091</v>
      </c>
      <c r="H607" s="1" t="s">
        <v>114</v>
      </c>
      <c r="I607" s="7">
        <v>45828.55036872685</v>
      </c>
      <c r="J607" s="7">
        <v>45857.04486432871</v>
      </c>
      <c r="K607" s="1" t="s">
        <v>115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60.0" customHeight="1">
      <c r="A608" s="1" t="s">
        <v>3092</v>
      </c>
      <c r="B608" s="1" t="s">
        <v>3093</v>
      </c>
      <c r="C608" s="2" t="s">
        <v>3094</v>
      </c>
      <c r="D608" s="5" t="str">
        <f>IMAGE("https://drive.google.com/uc?export=view&amp;id=1CwfwOvuSc7-v2-zEmYRsB4VLHqA9hCw5",2)</f>
        <v/>
      </c>
      <c r="E608" s="5" t="str">
        <f>IMAGE("https://drive.google.com/uc?export=view&amp;id=1CwfwOvuSc7-v2-zEmYRsB4VLHqA9hCw5",1)</f>
        <v/>
      </c>
      <c r="F608" s="6" t="s">
        <v>3095</v>
      </c>
      <c r="G608" s="6" t="s">
        <v>3096</v>
      </c>
      <c r="H608" s="1" t="s">
        <v>16</v>
      </c>
      <c r="I608" s="7">
        <v>45890.71660986111</v>
      </c>
      <c r="J608" s="7">
        <v>45890.71722976852</v>
      </c>
      <c r="K608" s="1" t="s">
        <v>17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60.0" customHeight="1">
      <c r="A609" s="1" t="s">
        <v>3097</v>
      </c>
      <c r="B609" s="1" t="s">
        <v>3098</v>
      </c>
      <c r="C609" s="2" t="s">
        <v>3099</v>
      </c>
      <c r="D609" s="5" t="str">
        <f>IMAGE("https://drive.google.com/uc?export=view&amp;id=1Jh_pFXPIhCPLZ3f0a55khZA1PcXzE__w",2)</f>
        <v/>
      </c>
      <c r="E609" s="5" t="str">
        <f>IMAGE("https://drive.google.com/uc?export=view&amp;id=1Jh_pFXPIhCPLZ3f0a55khZA1PcXzE__w",1)</f>
        <v/>
      </c>
      <c r="F609" s="6" t="s">
        <v>3100</v>
      </c>
      <c r="G609" s="6" t="s">
        <v>3101</v>
      </c>
      <c r="H609" s="1" t="s">
        <v>23</v>
      </c>
      <c r="I609" s="7">
        <v>45898.58372115741</v>
      </c>
      <c r="J609" s="7">
        <v>45898.57775462963</v>
      </c>
      <c r="K609" s="1" t="s">
        <v>24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60.0" customHeight="1">
      <c r="A610" s="1" t="s">
        <v>3102</v>
      </c>
      <c r="B610" s="1" t="s">
        <v>3103</v>
      </c>
      <c r="C610" s="2" t="s">
        <v>3104</v>
      </c>
      <c r="D610" s="5" t="str">
        <f>IMAGE("https://drive.google.com/uc?export=view&amp;id=1uW1n9S8mcWEVshIFxGove6FEh4FxbcjF",2)</f>
        <v/>
      </c>
      <c r="E610" s="5" t="str">
        <f>IMAGE("https://drive.google.com/uc?export=view&amp;id=1uW1n9S8mcWEVshIFxGove6FEh4FxbcjF",1)</f>
        <v/>
      </c>
      <c r="F610" s="6" t="s">
        <v>3105</v>
      </c>
      <c r="G610" s="6" t="s">
        <v>3106</v>
      </c>
      <c r="H610" s="1" t="s">
        <v>449</v>
      </c>
      <c r="I610" s="7">
        <v>46009.40788462963</v>
      </c>
      <c r="J610" s="7">
        <v>46008.776226851856</v>
      </c>
      <c r="K610" s="1" t="s">
        <v>450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60.0" customHeight="1">
      <c r="A611" s="1" t="s">
        <v>3107</v>
      </c>
      <c r="B611" s="1" t="s">
        <v>3108</v>
      </c>
      <c r="C611" s="2" t="s">
        <v>3109</v>
      </c>
      <c r="D611" s="5" t="str">
        <f>IMAGE("https://drive.google.com/uc?export=view&amp;id=1AT57hhML41aJJE3u0JbLK2Y9tdzEFyEr",2)</f>
        <v/>
      </c>
      <c r="E611" s="5" t="str">
        <f>IMAGE("https://drive.google.com/uc?export=view&amp;id=1AT57hhML41aJJE3u0JbLK2Y9tdzEFyEr",1)</f>
        <v/>
      </c>
      <c r="F611" s="6" t="s">
        <v>3110</v>
      </c>
      <c r="G611" s="6" t="s">
        <v>3111</v>
      </c>
      <c r="H611" s="1" t="s">
        <v>114</v>
      </c>
      <c r="I611" s="7">
        <v>45934.59676810185</v>
      </c>
      <c r="J611" s="7">
        <v>45934.5981577662</v>
      </c>
      <c r="K611" s="1" t="s">
        <v>115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60.0" customHeight="1">
      <c r="A612" s="1" t="s">
        <v>3112</v>
      </c>
      <c r="B612" s="1" t="s">
        <v>3113</v>
      </c>
      <c r="C612" s="2" t="s">
        <v>3114</v>
      </c>
      <c r="D612" s="5" t="str">
        <f>IMAGE("https://drive.google.com/uc?export=view&amp;id=1l3f9abuvc0tx1HH1WP_EclbCjefkoFyd",2)</f>
        <v/>
      </c>
      <c r="E612" s="5" t="str">
        <f>IMAGE("https://drive.google.com/uc?export=view&amp;id=1l3f9abuvc0tx1HH1WP_EclbCjefkoFyd",1)</f>
        <v/>
      </c>
      <c r="F612" s="6" t="s">
        <v>3115</v>
      </c>
      <c r="G612" s="6" t="s">
        <v>3116</v>
      </c>
      <c r="H612" s="1" t="s">
        <v>114</v>
      </c>
      <c r="I612" s="7">
        <v>45934.59823347222</v>
      </c>
      <c r="J612" s="7">
        <v>45934.59837583333</v>
      </c>
      <c r="K612" s="1" t="s">
        <v>115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60.0" customHeight="1">
      <c r="A613" s="1" t="s">
        <v>3117</v>
      </c>
      <c r="B613" s="1" t="s">
        <v>3118</v>
      </c>
      <c r="C613" s="2" t="s">
        <v>3119</v>
      </c>
      <c r="D613" s="5" t="str">
        <f>IMAGE("https://drive.google.com/uc?export=view&amp;id=1VLZdTtjpQcYAozYoDzvjDxnPnn9U2E4A",2)</f>
        <v/>
      </c>
      <c r="E613" s="5" t="str">
        <f>IMAGE("https://drive.google.com/uc?export=view&amp;id=1VLZdTtjpQcYAozYoDzvjDxnPnn9U2E4A",1)</f>
        <v/>
      </c>
      <c r="F613" s="6" t="s">
        <v>3120</v>
      </c>
      <c r="G613" s="6" t="s">
        <v>3121</v>
      </c>
      <c r="H613" s="1" t="s">
        <v>353</v>
      </c>
      <c r="I613" s="7">
        <v>45890.39295504629</v>
      </c>
      <c r="J613" s="7">
        <v>45890.39313329861</v>
      </c>
      <c r="K613" s="1" t="s">
        <v>354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60.0" customHeight="1">
      <c r="A614" s="1" t="s">
        <v>3122</v>
      </c>
      <c r="B614" s="1" t="s">
        <v>3123</v>
      </c>
      <c r="C614" s="2" t="s">
        <v>3124</v>
      </c>
      <c r="D614" s="5" t="str">
        <f>IMAGE("https://drive.google.com/uc?export=view&amp;id=1-4GSqQR7s2ACWLmEpWJlH8TOL-pZzlcp",2)</f>
        <v/>
      </c>
      <c r="E614" s="5" t="str">
        <f>IMAGE("https://drive.google.com/uc?export=view&amp;id=1-4GSqQR7s2ACWLmEpWJlH8TOL-pZzlcp",1)</f>
        <v/>
      </c>
      <c r="F614" s="6" t="s">
        <v>3125</v>
      </c>
      <c r="G614" s="6" t="s">
        <v>3126</v>
      </c>
      <c r="H614" s="1" t="s">
        <v>16</v>
      </c>
      <c r="I614" s="7">
        <v>45887.49936857639</v>
      </c>
      <c r="J614" s="7">
        <v>45890.46184275463</v>
      </c>
      <c r="K614" s="1" t="s">
        <v>17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60.0" customHeight="1">
      <c r="A615" s="1" t="s">
        <v>3127</v>
      </c>
      <c r="B615" s="1" t="s">
        <v>3128</v>
      </c>
      <c r="C615" s="2" t="s">
        <v>3129</v>
      </c>
      <c r="D615" s="5" t="str">
        <f>IMAGE("https://drive.google.com/uc?export=view&amp;id=1KCqicRojlPsSb7u6xQmJ2xPBx4gsu-4O",2)</f>
        <v/>
      </c>
      <c r="E615" s="5" t="str">
        <f>IMAGE("https://drive.google.com/uc?export=view&amp;id=1KCqicRojlPsSb7u6xQmJ2xPBx4gsu-4O",1)</f>
        <v/>
      </c>
      <c r="F615" s="6" t="s">
        <v>3130</v>
      </c>
      <c r="G615" s="6" t="s">
        <v>3131</v>
      </c>
      <c r="H615" s="1" t="s">
        <v>23</v>
      </c>
      <c r="I615" s="7">
        <v>45898.58362689815</v>
      </c>
      <c r="J615" s="7">
        <v>45898.5777662037</v>
      </c>
      <c r="K615" s="1" t="s">
        <v>24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60.0" customHeight="1">
      <c r="A616" s="1" t="s">
        <v>3132</v>
      </c>
      <c r="B616" s="1" t="s">
        <v>3133</v>
      </c>
      <c r="C616" s="2" t="s">
        <v>3134</v>
      </c>
      <c r="D616" s="5" t="str">
        <f>IMAGE("https://drive.google.com/uc?export=view&amp;id=1KnJuM1VaorTcWxUmnIP42I1xehddYHEq",2)</f>
        <v/>
      </c>
      <c r="E616" s="5" t="str">
        <f>IMAGE("https://drive.google.com/uc?export=view&amp;id=1KnJuM1VaorTcWxUmnIP42I1xehddYHEq",1)</f>
        <v/>
      </c>
      <c r="F616" s="6" t="s">
        <v>3135</v>
      </c>
      <c r="G616" s="6" t="s">
        <v>3136</v>
      </c>
      <c r="H616" s="1" t="s">
        <v>16</v>
      </c>
      <c r="I616" s="7">
        <v>45890.455810810185</v>
      </c>
      <c r="J616" s="7">
        <v>45890.052719907406</v>
      </c>
      <c r="K616" s="1" t="s">
        <v>17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60.0" customHeight="1">
      <c r="A617" s="1" t="s">
        <v>3137</v>
      </c>
      <c r="B617" s="1" t="s">
        <v>3138</v>
      </c>
      <c r="C617" s="2" t="s">
        <v>3139</v>
      </c>
      <c r="D617" s="5" t="str">
        <f>IMAGE("https://drive.google.com/uc?export=view&amp;id=1DzaFhZHdIu1xw2owjz9BoKk2WrpLymiy",2)</f>
        <v/>
      </c>
      <c r="E617" s="5" t="str">
        <f>IMAGE("https://drive.google.com/uc?export=view&amp;id=1DzaFhZHdIu1xw2owjz9BoKk2WrpLymiy",1)</f>
        <v/>
      </c>
      <c r="F617" s="6" t="s">
        <v>3140</v>
      </c>
      <c r="G617" s="6" t="s">
        <v>3141</v>
      </c>
      <c r="H617" s="1" t="s">
        <v>23</v>
      </c>
      <c r="I617" s="7">
        <v>45898.58393612268</v>
      </c>
      <c r="J617" s="7">
        <v>45898.5777662037</v>
      </c>
      <c r="K617" s="1" t="s">
        <v>24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60.0" customHeight="1">
      <c r="A618" s="1" t="s">
        <v>3142</v>
      </c>
      <c r="B618" s="1" t="s">
        <v>3143</v>
      </c>
      <c r="C618" s="2" t="s">
        <v>3144</v>
      </c>
      <c r="D618" s="5" t="str">
        <f>IMAGE("https://drive.google.com/uc?export=view&amp;id=1TYWo6cGaOhL5jkvIi4-pio3yn9aynxRQ",2)</f>
        <v/>
      </c>
      <c r="E618" s="5" t="str">
        <f>IMAGE("https://drive.google.com/uc?export=view&amp;id=1TYWo6cGaOhL5jkvIi4-pio3yn9aynxRQ",1)</f>
        <v/>
      </c>
      <c r="F618" s="6" t="s">
        <v>3145</v>
      </c>
      <c r="G618" s="6" t="s">
        <v>3146</v>
      </c>
      <c r="H618" s="1" t="s">
        <v>449</v>
      </c>
      <c r="I618" s="7">
        <v>46009.5028725</v>
      </c>
      <c r="J618" s="7">
        <v>46009.50258101852</v>
      </c>
      <c r="K618" s="1" t="s">
        <v>450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60.0" customHeight="1">
      <c r="A619" s="1" t="s">
        <v>3147</v>
      </c>
      <c r="B619" s="1" t="s">
        <v>3148</v>
      </c>
      <c r="C619" s="2" t="s">
        <v>3149</v>
      </c>
      <c r="D619" s="5" t="str">
        <f>IMAGE("https://drive.google.com/uc?export=view&amp;id=1ZPjdMarV4XhkRQBjdIv7mgZPItNJJ27o",2)</f>
        <v/>
      </c>
      <c r="E619" s="5" t="str">
        <f>IMAGE("https://drive.google.com/uc?export=view&amp;id=1ZPjdMarV4XhkRQBjdIv7mgZPItNJJ27o",1)</f>
        <v/>
      </c>
      <c r="F619" s="6" t="s">
        <v>3150</v>
      </c>
      <c r="G619" s="6" t="s">
        <v>3151</v>
      </c>
      <c r="H619" s="1" t="s">
        <v>92</v>
      </c>
      <c r="I619" s="7">
        <v>46009.469902372686</v>
      </c>
      <c r="J619" s="7">
        <v>46009.467303240745</v>
      </c>
      <c r="K619" s="1" t="s">
        <v>93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60.0" customHeight="1">
      <c r="A620" s="1" t="s">
        <v>3152</v>
      </c>
      <c r="B620" s="1" t="s">
        <v>3153</v>
      </c>
      <c r="C620" s="2" t="s">
        <v>3154</v>
      </c>
      <c r="D620" s="5" t="str">
        <f>IMAGE("https://drive.google.com/uc?export=view&amp;id=12hVmlW-jV_8bH-Was44REydSioFE5VuC",2)</f>
        <v/>
      </c>
      <c r="E620" s="5" t="str">
        <f>IMAGE("https://drive.google.com/uc?export=view&amp;id=12hVmlW-jV_8bH-Was44REydSioFE5VuC",1)</f>
        <v/>
      </c>
      <c r="F620" s="6" t="s">
        <v>3155</v>
      </c>
      <c r="G620" s="6" t="s">
        <v>3156</v>
      </c>
      <c r="H620" s="1" t="s">
        <v>304</v>
      </c>
      <c r="I620" s="7">
        <v>45860.696181886575</v>
      </c>
      <c r="J620" s="7">
        <v>45924.57204008102</v>
      </c>
      <c r="K620" s="1" t="s">
        <v>305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60.0" customHeight="1">
      <c r="A621" s="1" t="s">
        <v>3157</v>
      </c>
      <c r="B621" s="1" t="s">
        <v>3158</v>
      </c>
      <c r="C621" s="2" t="s">
        <v>3159</v>
      </c>
      <c r="D621" s="5" t="str">
        <f>IMAGE("https://drive.google.com/uc?export=view&amp;id=1fh7Elzo9aywvE6PY6vmIZAh6cLS27ttc",2)</f>
        <v/>
      </c>
      <c r="E621" s="5" t="str">
        <f>IMAGE("https://drive.google.com/uc?export=view&amp;id=1fh7Elzo9aywvE6PY6vmIZAh6cLS27ttc",1)</f>
        <v/>
      </c>
      <c r="F621" s="6" t="s">
        <v>3160</v>
      </c>
      <c r="G621" s="6" t="s">
        <v>3161</v>
      </c>
      <c r="H621" s="1" t="s">
        <v>121</v>
      </c>
      <c r="I621" s="7">
        <v>46074.49897332176</v>
      </c>
      <c r="J621" s="7">
        <v>46072.72902777778</v>
      </c>
      <c r="K621" s="1" t="s">
        <v>122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60.0" customHeight="1">
      <c r="A622" s="1" t="s">
        <v>3162</v>
      </c>
      <c r="B622" s="1" t="s">
        <v>3163</v>
      </c>
      <c r="C622" s="2" t="s">
        <v>3164</v>
      </c>
      <c r="D622" s="5" t="str">
        <f>IMAGE("https://drive.google.com/uc?export=view&amp;id=1q52WP67f3xw1I-PfJQMa7BVK5I3cv6h3",2)</f>
        <v/>
      </c>
      <c r="E622" s="5" t="str">
        <f>IMAGE("https://drive.google.com/uc?export=view&amp;id=1q52WP67f3xw1I-PfJQMa7BVK5I3cv6h3",1)</f>
        <v/>
      </c>
      <c r="F622" s="6" t="s">
        <v>3165</v>
      </c>
      <c r="G622" s="6" t="s">
        <v>3166</v>
      </c>
      <c r="H622" s="1" t="s">
        <v>121</v>
      </c>
      <c r="I622" s="7">
        <v>46074.49876012732</v>
      </c>
      <c r="J622" s="7">
        <v>46072.64262731481</v>
      </c>
      <c r="K622" s="1" t="s">
        <v>122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60.0" customHeight="1">
      <c r="A623" s="1" t="s">
        <v>3167</v>
      </c>
      <c r="B623" s="1" t="s">
        <v>3168</v>
      </c>
      <c r="C623" s="2" t="s">
        <v>3169</v>
      </c>
      <c r="D623" s="5" t="str">
        <f>IMAGE("https://drive.google.com/uc?export=view&amp;id=1R7scThx-uDqh9bugz0sCgg2yX_ESt7x3",2)</f>
        <v/>
      </c>
      <c r="E623" s="5" t="str">
        <f>IMAGE("https://drive.google.com/uc?export=view&amp;id=1R7scThx-uDqh9bugz0sCgg2yX_ESt7x3",1)</f>
        <v/>
      </c>
      <c r="F623" s="6" t="s">
        <v>3170</v>
      </c>
      <c r="G623" s="6" t="s">
        <v>3171</v>
      </c>
      <c r="H623" s="1" t="s">
        <v>114</v>
      </c>
      <c r="I623" s="7">
        <v>45828.55050135417</v>
      </c>
      <c r="J623" s="7">
        <v>45860.705979363425</v>
      </c>
      <c r="K623" s="1" t="s">
        <v>115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60.0" customHeight="1">
      <c r="A624" s="1" t="s">
        <v>3172</v>
      </c>
      <c r="B624" s="1" t="s">
        <v>3173</v>
      </c>
      <c r="C624" s="2" t="s">
        <v>3174</v>
      </c>
      <c r="D624" s="5" t="str">
        <f>IMAGE("https://drive.google.com/uc?export=view&amp;id=1Abfk1HWs0gXL6E-CFJuIJW4m7qRUQADc",2)</f>
        <v/>
      </c>
      <c r="E624" s="5" t="str">
        <f>IMAGE("https://drive.google.com/uc?export=view&amp;id=1Abfk1HWs0gXL6E-CFJuIJW4m7qRUQADc",1)</f>
        <v/>
      </c>
      <c r="F624" s="6" t="s">
        <v>3175</v>
      </c>
      <c r="G624" s="6" t="s">
        <v>3176</v>
      </c>
      <c r="H624" s="1" t="s">
        <v>114</v>
      </c>
      <c r="I624" s="7">
        <v>45828.55065091435</v>
      </c>
      <c r="J624" s="7">
        <v>45860.706132858795</v>
      </c>
      <c r="K624" s="1" t="s">
        <v>115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60.0" customHeight="1">
      <c r="A625" s="1" t="s">
        <v>3177</v>
      </c>
      <c r="B625" s="1" t="s">
        <v>3178</v>
      </c>
      <c r="C625" s="2" t="s">
        <v>3179</v>
      </c>
      <c r="D625" s="5" t="str">
        <f>IMAGE("https://drive.google.com/uc?export=view&amp;id=1hmolJMpGuxF9mCicU-SUxPoGI2wOtfQ5",2)</f>
        <v/>
      </c>
      <c r="E625" s="5" t="str">
        <f>IMAGE("https://drive.google.com/uc?export=view&amp;id=1hmolJMpGuxF9mCicU-SUxPoGI2wOtfQ5",1)</f>
        <v/>
      </c>
      <c r="F625" s="6" t="s">
        <v>3180</v>
      </c>
      <c r="G625" s="6" t="s">
        <v>3181</v>
      </c>
      <c r="H625" s="1" t="s">
        <v>30</v>
      </c>
      <c r="I625" s="7">
        <v>45913.546248900464</v>
      </c>
      <c r="J625" s="7">
        <v>45904.480937500004</v>
      </c>
      <c r="K625" s="1" t="s">
        <v>31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60.0" customHeight="1">
      <c r="A626" s="1" t="s">
        <v>3182</v>
      </c>
      <c r="B626" s="1" t="s">
        <v>3183</v>
      </c>
      <c r="C626" s="2" t="s">
        <v>3184</v>
      </c>
      <c r="D626" s="5" t="str">
        <f>IMAGE("https://drive.google.com/uc?export=view&amp;id=1Gtx9Mi9X8B1UiP1wuw4ymXCVVM2ev_xv",2)</f>
        <v/>
      </c>
      <c r="E626" s="5" t="str">
        <f>IMAGE("https://drive.google.com/uc?export=view&amp;id=1Gtx9Mi9X8B1UiP1wuw4ymXCVVM2ev_xv",1)</f>
        <v/>
      </c>
      <c r="F626" s="6" t="s">
        <v>3185</v>
      </c>
      <c r="G626" s="6" t="s">
        <v>3186</v>
      </c>
      <c r="H626" s="1" t="s">
        <v>114</v>
      </c>
      <c r="I626" s="7">
        <v>45828.55080318287</v>
      </c>
      <c r="J626" s="7">
        <v>45860.706286817134</v>
      </c>
      <c r="K626" s="1" t="s">
        <v>115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60.0" customHeight="1">
      <c r="A627" s="1" t="s">
        <v>3187</v>
      </c>
      <c r="B627" s="1" t="s">
        <v>3188</v>
      </c>
      <c r="C627" s="2" t="s">
        <v>3189</v>
      </c>
      <c r="D627" s="5" t="str">
        <f>IMAGE("https://drive.google.com/uc?export=view&amp;id=1myTDcKkHuM-xMyxm0P-A2odSDmqUuZbU",2)</f>
        <v/>
      </c>
      <c r="E627" s="5" t="str">
        <f>IMAGE("https://drive.google.com/uc?export=view&amp;id=1myTDcKkHuM-xMyxm0P-A2odSDmqUuZbU",1)</f>
        <v/>
      </c>
      <c r="F627" s="6" t="s">
        <v>3190</v>
      </c>
      <c r="G627" s="6" t="s">
        <v>3191</v>
      </c>
      <c r="H627" s="1" t="s">
        <v>114</v>
      </c>
      <c r="I627" s="7">
        <v>45828.550915162035</v>
      </c>
      <c r="J627" s="7">
        <v>45860.70640689815</v>
      </c>
      <c r="K627" s="1" t="s">
        <v>115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60.0" customHeight="1">
      <c r="A628" s="1" t="s">
        <v>3192</v>
      </c>
      <c r="B628" s="1" t="s">
        <v>3193</v>
      </c>
      <c r="C628" s="2" t="s">
        <v>3194</v>
      </c>
      <c r="D628" s="5" t="str">
        <f>IMAGE("https://drive.google.com/uc?export=view&amp;id=1etpqvT3iF0s6y2PBFN18rA0rzfprVkit",2)</f>
        <v/>
      </c>
      <c r="E628" s="5" t="str">
        <f>IMAGE("https://drive.google.com/uc?export=view&amp;id=1etpqvT3iF0s6y2PBFN18rA0rzfprVkit",1)</f>
        <v/>
      </c>
      <c r="F628" s="6" t="s">
        <v>3195</v>
      </c>
      <c r="G628" s="6" t="s">
        <v>3196</v>
      </c>
      <c r="H628" s="1" t="s">
        <v>234</v>
      </c>
      <c r="I628" s="7">
        <v>46070.95051715278</v>
      </c>
      <c r="J628" s="7">
        <v>46070.82806712963</v>
      </c>
      <c r="K628" s="1" t="s">
        <v>235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60.0" customHeight="1">
      <c r="A629" s="1" t="s">
        <v>3197</v>
      </c>
      <c r="B629" s="1" t="s">
        <v>3198</v>
      </c>
      <c r="C629" s="2" t="s">
        <v>3199</v>
      </c>
      <c r="D629" s="5" t="str">
        <f>IMAGE("https://drive.google.com/uc?export=view&amp;id=1h2JD1nT3xljnloNmXlRzMvmFMab61B3W",2)</f>
        <v/>
      </c>
      <c r="E629" s="5" t="str">
        <f>IMAGE("https://drive.google.com/uc?export=view&amp;id=1h2JD1nT3xljnloNmXlRzMvmFMab61B3W",1)</f>
        <v/>
      </c>
      <c r="F629" s="6" t="s">
        <v>3200</v>
      </c>
      <c r="G629" s="6" t="s">
        <v>3201</v>
      </c>
      <c r="H629" s="1" t="s">
        <v>234</v>
      </c>
      <c r="I629" s="7">
        <v>46070.950719409724</v>
      </c>
      <c r="J629" s="7">
        <v>46070.83380787037</v>
      </c>
      <c r="K629" s="1" t="s">
        <v>235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60.0" customHeight="1">
      <c r="A630" s="1" t="s">
        <v>3202</v>
      </c>
      <c r="B630" s="1" t="s">
        <v>3203</v>
      </c>
      <c r="C630" s="2" t="s">
        <v>3204</v>
      </c>
      <c r="D630" s="5" t="str">
        <f>IMAGE("https://drive.google.com/uc?export=view&amp;id=1-Bxc8u1ZDjMGzQbX-agYRpgkGdixy1p1",2)</f>
        <v/>
      </c>
      <c r="E630" s="5" t="str">
        <f>IMAGE("https://drive.google.com/uc?export=view&amp;id=1-Bxc8u1ZDjMGzQbX-agYRpgkGdixy1p1",1)</f>
        <v/>
      </c>
      <c r="F630" s="6" t="s">
        <v>3205</v>
      </c>
      <c r="G630" s="6" t="s">
        <v>3206</v>
      </c>
      <c r="H630" s="1" t="s">
        <v>121</v>
      </c>
      <c r="I630" s="7">
        <v>46074.49749541667</v>
      </c>
      <c r="J630" s="7">
        <v>46074.35403935185</v>
      </c>
      <c r="K630" s="1" t="s">
        <v>122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60.0" customHeight="1">
      <c r="A631" s="1" t="s">
        <v>3207</v>
      </c>
      <c r="B631" s="1" t="s">
        <v>3208</v>
      </c>
      <c r="C631" s="2" t="s">
        <v>3209</v>
      </c>
      <c r="D631" s="5" t="str">
        <f>IMAGE("https://drive.google.com/uc?export=view&amp;id=1uTTQ2LS4oyKU8mwg7p_GkG0ED3QgeYlD",2)</f>
        <v/>
      </c>
      <c r="E631" s="5" t="str">
        <f>IMAGE("https://drive.google.com/uc?export=view&amp;id=1uTTQ2LS4oyKU8mwg7p_GkG0ED3QgeYlD",1)</f>
        <v/>
      </c>
      <c r="F631" s="6" t="s">
        <v>3210</v>
      </c>
      <c r="G631" s="6" t="s">
        <v>3211</v>
      </c>
      <c r="H631" s="1" t="s">
        <v>16</v>
      </c>
      <c r="I631" s="7">
        <v>45887.499496122684</v>
      </c>
      <c r="J631" s="7">
        <v>45890.46197340278</v>
      </c>
      <c r="K631" s="1" t="s">
        <v>17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60.0" customHeight="1">
      <c r="A632" s="1" t="s">
        <v>3212</v>
      </c>
      <c r="B632" s="1" t="s">
        <v>3213</v>
      </c>
      <c r="C632" s="2" t="s">
        <v>3214</v>
      </c>
      <c r="D632" s="5" t="str">
        <f>IMAGE("https://drive.google.com/uc?export=view&amp;id=1n9He7Xs0wnDkkvkrCT9SGc99E4iXkYe5",2)</f>
        <v/>
      </c>
      <c r="E632" s="5" t="str">
        <f>IMAGE("https://drive.google.com/uc?export=view&amp;id=1n9He7Xs0wnDkkvkrCT9SGc99E4iXkYe5",1)</f>
        <v/>
      </c>
      <c r="F632" s="6" t="s">
        <v>3215</v>
      </c>
      <c r="G632" s="6" t="s">
        <v>3216</v>
      </c>
      <c r="H632" s="1" t="s">
        <v>23</v>
      </c>
      <c r="I632" s="7">
        <v>45898.58360478009</v>
      </c>
      <c r="J632" s="7">
        <v>45898.5777662037</v>
      </c>
      <c r="K632" s="1" t="s">
        <v>24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60.0" customHeight="1">
      <c r="A633" s="1" t="s">
        <v>3217</v>
      </c>
      <c r="B633" s="1" t="s">
        <v>3218</v>
      </c>
      <c r="C633" s="2" t="s">
        <v>3219</v>
      </c>
      <c r="D633" s="5" t="str">
        <f>IMAGE("https://drive.google.com/uc?export=view&amp;id=1vXcrjcN0OFnKpu-pAVAdYuVB_w4HDxEv",2)</f>
        <v/>
      </c>
      <c r="E633" s="5" t="str">
        <f>IMAGE("https://drive.google.com/uc?export=view&amp;id=1vXcrjcN0OFnKpu-pAVAdYuVB_w4HDxEv",1)</f>
        <v/>
      </c>
      <c r="F633" s="6" t="s">
        <v>3220</v>
      </c>
      <c r="G633" s="6" t="s">
        <v>3221</v>
      </c>
      <c r="H633" s="1" t="s">
        <v>128</v>
      </c>
      <c r="I633" s="7">
        <v>46017.49508069444</v>
      </c>
      <c r="J633" s="7">
        <v>46010.5396875</v>
      </c>
      <c r="K633" s="1" t="s">
        <v>129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60.0" customHeight="1">
      <c r="A634" s="1" t="s">
        <v>3222</v>
      </c>
      <c r="B634" s="1" t="s">
        <v>3223</v>
      </c>
      <c r="C634" s="2" t="s">
        <v>3224</v>
      </c>
      <c r="D634" s="5" t="str">
        <f>IMAGE("https://drive.google.com/uc?export=view&amp;id=1wF-yjxQaXmE0a6dph_JneuWMN0GlOwie",2)</f>
        <v/>
      </c>
      <c r="E634" s="5" t="str">
        <f>IMAGE("https://drive.google.com/uc?export=view&amp;id=1wF-yjxQaXmE0a6dph_JneuWMN0GlOwie",1)</f>
        <v/>
      </c>
      <c r="F634" s="6" t="s">
        <v>3225</v>
      </c>
      <c r="G634" s="6" t="s">
        <v>3226</v>
      </c>
      <c r="H634" s="1" t="s">
        <v>16</v>
      </c>
      <c r="I634" s="7">
        <v>45875.06958171296</v>
      </c>
      <c r="J634" s="7">
        <v>45890.46212460648</v>
      </c>
      <c r="K634" s="1" t="s">
        <v>17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60.0" customHeight="1">
      <c r="A635" s="1" t="s">
        <v>3227</v>
      </c>
      <c r="B635" s="1" t="s">
        <v>3228</v>
      </c>
      <c r="C635" s="2" t="s">
        <v>3229</v>
      </c>
      <c r="D635" s="5" t="str">
        <f>IMAGE("https://drive.google.com/uc?export=view&amp;id=1REkh2xx5qc4q5OhkrwCVWhv1DvkFHlQz",2)</f>
        <v/>
      </c>
      <c r="E635" s="5" t="str">
        <f>IMAGE("https://drive.google.com/uc?export=view&amp;id=1REkh2xx5qc4q5OhkrwCVWhv1DvkFHlQz",1)</f>
        <v/>
      </c>
      <c r="F635" s="6" t="s">
        <v>3230</v>
      </c>
      <c r="G635" s="6" t="s">
        <v>3231</v>
      </c>
      <c r="H635" s="1" t="s">
        <v>23</v>
      </c>
      <c r="I635" s="7">
        <v>45898.58362689815</v>
      </c>
      <c r="J635" s="7">
        <v>45898.5777662037</v>
      </c>
      <c r="K635" s="1" t="s">
        <v>24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60.0" customHeight="1">
      <c r="A636" s="1" t="s">
        <v>3232</v>
      </c>
      <c r="B636" s="1" t="s">
        <v>3233</v>
      </c>
      <c r="C636" s="2" t="s">
        <v>3234</v>
      </c>
      <c r="D636" s="5" t="str">
        <f>IMAGE("https://drive.google.com/uc?export=view&amp;id=1EGaY1Zz0GRAv78CEOHI8AQEi_g4j-Uhy",2)</f>
        <v/>
      </c>
      <c r="E636" s="5" t="str">
        <f>IMAGE("https://drive.google.com/uc?export=view&amp;id=1EGaY1Zz0GRAv78CEOHI8AQEi_g4j-Uhy",1)</f>
        <v/>
      </c>
      <c r="F636" s="6" t="s">
        <v>3235</v>
      </c>
      <c r="G636" s="6" t="s">
        <v>3236</v>
      </c>
      <c r="H636" s="1" t="s">
        <v>177</v>
      </c>
      <c r="I636" s="7">
        <v>45949.81790189815</v>
      </c>
      <c r="J636" s="7">
        <v>45949.81790306713</v>
      </c>
      <c r="K636" s="1" t="s">
        <v>178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60.0" customHeight="1">
      <c r="A637" s="1" t="s">
        <v>3237</v>
      </c>
      <c r="B637" s="1" t="s">
        <v>3238</v>
      </c>
      <c r="C637" s="2" t="s">
        <v>3239</v>
      </c>
      <c r="D637" s="5" t="str">
        <f>IMAGE("https://drive.google.com/uc?export=view&amp;id=1VTMnFLB0CunTBYRho2dh4Lc8LlHuYylH",2)</f>
        <v/>
      </c>
      <c r="E637" s="5" t="str">
        <f>IMAGE("https://drive.google.com/uc?export=view&amp;id=1VTMnFLB0CunTBYRho2dh4Lc8LlHuYylH",1)</f>
        <v/>
      </c>
      <c r="F637" s="6" t="s">
        <v>3240</v>
      </c>
      <c r="G637" s="6" t="s">
        <v>3241</v>
      </c>
      <c r="H637" s="1" t="s">
        <v>30</v>
      </c>
      <c r="I637" s="7">
        <v>45897.45556116899</v>
      </c>
      <c r="J637" s="7">
        <v>45913.55211452546</v>
      </c>
      <c r="K637" s="1" t="s">
        <v>31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60.0" customHeight="1">
      <c r="A638" s="1" t="s">
        <v>3242</v>
      </c>
      <c r="B638" s="1" t="s">
        <v>3243</v>
      </c>
      <c r="C638" s="2" t="s">
        <v>3244</v>
      </c>
      <c r="D638" s="5" t="str">
        <f>IMAGE("https://drive.google.com/uc?export=view&amp;id=1XSoDvU13C1XbWQR-4kv0vXu4HuvkPB6-",2)</f>
        <v/>
      </c>
      <c r="E638" s="5" t="str">
        <f>IMAGE("https://drive.google.com/uc?export=view&amp;id=1XSoDvU13C1XbWQR-4kv0vXu4HuvkPB6-",1)</f>
        <v/>
      </c>
      <c r="F638" s="6" t="s">
        <v>3245</v>
      </c>
      <c r="G638" s="6" t="s">
        <v>3246</v>
      </c>
      <c r="H638" s="1" t="s">
        <v>177</v>
      </c>
      <c r="I638" s="7">
        <v>45948.77608591435</v>
      </c>
      <c r="J638" s="7">
        <v>45948.7761459375</v>
      </c>
      <c r="K638" s="1" t="s">
        <v>178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60.0" customHeight="1">
      <c r="A639" s="1" t="s">
        <v>3247</v>
      </c>
      <c r="B639" s="1" t="s">
        <v>3248</v>
      </c>
      <c r="C639" s="2" t="s">
        <v>3249</v>
      </c>
      <c r="D639" s="5" t="str">
        <f>IMAGE("https://drive.google.com/uc?export=view&amp;id=1NxqcdTr9-scWT5J0B6oYjJW5zxRRMaOV",2)</f>
        <v/>
      </c>
      <c r="E639" s="5" t="str">
        <f>IMAGE("https://drive.google.com/uc?export=view&amp;id=1NxqcdTr9-scWT5J0B6oYjJW5zxRRMaOV",1)</f>
        <v/>
      </c>
      <c r="F639" s="6" t="s">
        <v>3250</v>
      </c>
      <c r="G639" s="6" t="s">
        <v>3251</v>
      </c>
      <c r="H639" s="1" t="s">
        <v>63</v>
      </c>
      <c r="I639" s="7">
        <v>45828.54286353009</v>
      </c>
      <c r="J639" s="7">
        <v>45860.69141222222</v>
      </c>
      <c r="K639" s="1" t="s">
        <v>64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60.0" customHeight="1">
      <c r="A640" s="1" t="s">
        <v>3252</v>
      </c>
      <c r="B640" s="1" t="s">
        <v>3253</v>
      </c>
      <c r="C640" s="2" t="s">
        <v>3254</v>
      </c>
      <c r="D640" s="5" t="str">
        <f>IMAGE("https://drive.google.com/uc?export=view&amp;id=1vM63klSSu8-PveRj3Vngg6eg8eQQTGIf",2)</f>
        <v/>
      </c>
      <c r="E640" s="5" t="str">
        <f>IMAGE("https://drive.google.com/uc?export=view&amp;id=1vM63klSSu8-PveRj3Vngg6eg8eQQTGIf",1)</f>
        <v/>
      </c>
      <c r="F640" s="6" t="s">
        <v>3255</v>
      </c>
      <c r="G640" s="6" t="s">
        <v>3256</v>
      </c>
      <c r="H640" s="1" t="s">
        <v>92</v>
      </c>
      <c r="I640" s="7">
        <v>45841.51947506944</v>
      </c>
      <c r="J640" s="7">
        <v>45860.70657018518</v>
      </c>
      <c r="K640" s="1" t="s">
        <v>93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60.0" customHeight="1">
      <c r="A641" s="1" t="s">
        <v>3257</v>
      </c>
      <c r="B641" s="1" t="s">
        <v>3258</v>
      </c>
      <c r="C641" s="2" t="s">
        <v>3259</v>
      </c>
      <c r="D641" s="5" t="str">
        <f>IMAGE("https://drive.google.com/uc?export=view&amp;id=1qEfMGWOyLP_gFF2pnJVPATqxQX_J8Ln2",2)</f>
        <v/>
      </c>
      <c r="E641" s="5" t="str">
        <f>IMAGE("https://drive.google.com/uc?export=view&amp;id=1qEfMGWOyLP_gFF2pnJVPATqxQX_J8Ln2",1)</f>
        <v/>
      </c>
      <c r="F641" s="6" t="s">
        <v>3260</v>
      </c>
      <c r="G641" s="6" t="s">
        <v>3261</v>
      </c>
      <c r="H641" s="1" t="s">
        <v>173</v>
      </c>
      <c r="I641" s="7">
        <v>45829.61419137732</v>
      </c>
      <c r="J641" s="7">
        <v>46071.39702231481</v>
      </c>
      <c r="K641" s="1" t="s">
        <v>246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60.0" customHeight="1">
      <c r="A642" s="1" t="s">
        <v>3262</v>
      </c>
      <c r="B642" s="1" t="s">
        <v>3263</v>
      </c>
      <c r="C642" s="2" t="s">
        <v>3264</v>
      </c>
      <c r="D642" s="5" t="str">
        <f>IMAGE("https://drive.google.com/uc?export=view&amp;id=1m6u108JoO4vB5fuhb__O5mCAxtq-9l5F",2)</f>
        <v/>
      </c>
      <c r="E642" s="5" t="str">
        <f>IMAGE("https://drive.google.com/uc?export=view&amp;id=1m6u108JoO4vB5fuhb__O5mCAxtq-9l5F",1)</f>
        <v/>
      </c>
      <c r="F642" s="6" t="s">
        <v>3265</v>
      </c>
      <c r="G642" s="6" t="s">
        <v>3266</v>
      </c>
      <c r="H642" s="1" t="s">
        <v>128</v>
      </c>
      <c r="I642" s="7">
        <v>46017.511324340274</v>
      </c>
      <c r="J642" s="7">
        <v>46011.98930555556</v>
      </c>
      <c r="K642" s="1" t="s">
        <v>129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60.0" customHeight="1">
      <c r="A643" s="1" t="s">
        <v>3267</v>
      </c>
      <c r="B643" s="1" t="s">
        <v>3268</v>
      </c>
      <c r="C643" s="2" t="s">
        <v>3269</v>
      </c>
      <c r="D643" s="5" t="str">
        <f>IMAGE("https://drive.google.com/uc?export=view&amp;id=1LULx-MsWrnGJxtVkYeoruBZ9TJQekjBF",2)</f>
        <v/>
      </c>
      <c r="E643" s="5" t="str">
        <f>IMAGE("https://drive.google.com/uc?export=view&amp;id=1LULx-MsWrnGJxtVkYeoruBZ9TJQekjBF",1)</f>
        <v/>
      </c>
      <c r="F643" s="6" t="s">
        <v>3270</v>
      </c>
      <c r="G643" s="6" t="s">
        <v>3271</v>
      </c>
      <c r="H643" s="1" t="s">
        <v>16</v>
      </c>
      <c r="I643" s="7">
        <v>45887.49963396991</v>
      </c>
      <c r="J643" s="7">
        <v>45890.462274467594</v>
      </c>
      <c r="K643" s="1" t="s">
        <v>17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60.0" customHeight="1">
      <c r="A644" s="1" t="s">
        <v>3272</v>
      </c>
      <c r="B644" s="1" t="s">
        <v>3273</v>
      </c>
      <c r="C644" s="2" t="s">
        <v>3274</v>
      </c>
      <c r="D644" s="5" t="str">
        <f>IMAGE("https://drive.google.com/uc?export=view&amp;id=1GZ5KOWIlLk25QnwLqI7-788BLUMV4RTJ",2)</f>
        <v/>
      </c>
      <c r="E644" s="5" t="str">
        <f>IMAGE("https://drive.google.com/uc?export=view&amp;id=1GZ5KOWIlLk25QnwLqI7-788BLUMV4RTJ",1)</f>
        <v/>
      </c>
      <c r="F644" s="6" t="s">
        <v>3275</v>
      </c>
      <c r="G644" s="6" t="s">
        <v>3276</v>
      </c>
      <c r="H644" s="1" t="s">
        <v>23</v>
      </c>
      <c r="I644" s="7">
        <v>45898.58365305555</v>
      </c>
      <c r="J644" s="7">
        <v>45898.5777662037</v>
      </c>
      <c r="K644" s="1" t="s">
        <v>24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60.0" customHeight="1">
      <c r="A645" s="1" t="s">
        <v>3277</v>
      </c>
      <c r="B645" s="1" t="s">
        <v>3278</v>
      </c>
      <c r="C645" s="2" t="s">
        <v>3279</v>
      </c>
      <c r="D645" s="5" t="str">
        <f>IMAGE("https://drive.google.com/uc?export=view&amp;id=14v7AeZygjuXrQC22iB6PtaoNQ0RB4nFr",2)</f>
        <v/>
      </c>
      <c r="E645" s="5" t="str">
        <f>IMAGE("https://drive.google.com/uc?export=view&amp;id=14v7AeZygjuXrQC22iB6PtaoNQ0RB4nFr",1)</f>
        <v/>
      </c>
      <c r="F645" s="6" t="s">
        <v>3280</v>
      </c>
      <c r="G645" s="6" t="s">
        <v>3281</v>
      </c>
      <c r="H645" s="1" t="s">
        <v>30</v>
      </c>
      <c r="I645" s="7">
        <v>45913.55547510416</v>
      </c>
      <c r="J645" s="7">
        <v>45897.52204861111</v>
      </c>
      <c r="K645" s="1" t="s">
        <v>31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60.0" customHeight="1">
      <c r="A646" s="1" t="s">
        <v>3282</v>
      </c>
      <c r="B646" s="1" t="s">
        <v>3283</v>
      </c>
      <c r="C646" s="2" t="s">
        <v>3284</v>
      </c>
      <c r="D646" s="5" t="str">
        <f>IMAGE("https://drive.google.com/uc?export=view&amp;id=1fanneYEVoEbirRjgkvc5ZPUN-EYPzAUX",2)</f>
        <v/>
      </c>
      <c r="E646" s="5" t="str">
        <f>IMAGE("https://drive.google.com/uc?export=view&amp;id=1fanneYEVoEbirRjgkvc5ZPUN-EYPzAUX",1)</f>
        <v/>
      </c>
      <c r="F646" s="6" t="s">
        <v>3285</v>
      </c>
      <c r="G646" s="6" t="s">
        <v>3286</v>
      </c>
      <c r="H646" s="1" t="s">
        <v>30</v>
      </c>
      <c r="I646" s="7">
        <v>45913.54640025463</v>
      </c>
      <c r="J646" s="7">
        <v>45897.462013888886</v>
      </c>
      <c r="K646" s="1" t="s">
        <v>31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60.0" customHeight="1">
      <c r="A647" s="1" t="s">
        <v>3287</v>
      </c>
      <c r="B647" s="1" t="s">
        <v>3288</v>
      </c>
      <c r="C647" s="2" t="s">
        <v>3289</v>
      </c>
      <c r="D647" s="5" t="str">
        <f>IMAGE("https://drive.google.com/uc?export=view&amp;id=1vmYu2QObCGx24UQtZ_FfnBtUAK3_Pc4w",2)</f>
        <v/>
      </c>
      <c r="E647" s="5" t="str">
        <f>IMAGE("https://drive.google.com/uc?export=view&amp;id=1vmYu2QObCGx24UQtZ_FfnBtUAK3_Pc4w",1)</f>
        <v/>
      </c>
      <c r="F647" s="6" t="s">
        <v>3290</v>
      </c>
      <c r="G647" s="6" t="s">
        <v>3291</v>
      </c>
      <c r="H647" s="1" t="s">
        <v>820</v>
      </c>
      <c r="I647" s="7">
        <v>46017.51898017361</v>
      </c>
      <c r="J647" s="7">
        <v>46011.892962962964</v>
      </c>
      <c r="K647" s="1" t="s">
        <v>821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60.0" customHeight="1">
      <c r="A648" s="1" t="s">
        <v>3292</v>
      </c>
      <c r="B648" s="1" t="s">
        <v>3293</v>
      </c>
      <c r="C648" s="2" t="s">
        <v>3294</v>
      </c>
      <c r="D648" s="5" t="str">
        <f>IMAGE("https://drive.google.com/uc?export=view&amp;id=1orzt00zuI83sjf47yIL49rJKKRhdV3zG",2)</f>
        <v/>
      </c>
      <c r="E648" s="5" t="str">
        <f>IMAGE("https://drive.google.com/uc?export=view&amp;id=1orzt00zuI83sjf47yIL49rJKKRhdV3zG",1)</f>
        <v/>
      </c>
      <c r="F648" s="6" t="s">
        <v>3295</v>
      </c>
      <c r="G648" s="6" t="s">
        <v>3296</v>
      </c>
      <c r="H648" s="1" t="s">
        <v>128</v>
      </c>
      <c r="I648" s="7">
        <v>46017.49587304398</v>
      </c>
      <c r="J648" s="7">
        <v>46011.75297453704</v>
      </c>
      <c r="K648" s="1" t="s">
        <v>129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60.0" customHeight="1">
      <c r="A649" s="1" t="s">
        <v>3297</v>
      </c>
      <c r="B649" s="1" t="s">
        <v>3298</v>
      </c>
      <c r="C649" s="2" t="s">
        <v>3299</v>
      </c>
      <c r="D649" s="5" t="str">
        <f>IMAGE("https://drive.google.com/uc?export=view&amp;id=1bogOFHuDiPs9aBB_vDRGs1994B19RCEY",2)</f>
        <v/>
      </c>
      <c r="E649" s="5" t="str">
        <f>IMAGE("https://drive.google.com/uc?export=view&amp;id=1bogOFHuDiPs9aBB_vDRGs1994B19RCEY",1)</f>
        <v/>
      </c>
      <c r="F649" s="6" t="s">
        <v>3300</v>
      </c>
      <c r="G649" s="6" t="s">
        <v>3301</v>
      </c>
      <c r="H649" s="1" t="s">
        <v>820</v>
      </c>
      <c r="I649" s="7">
        <v>46009.583356585645</v>
      </c>
      <c r="J649" s="7">
        <v>46009.58263888889</v>
      </c>
      <c r="K649" s="1" t="s">
        <v>821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60.0" customHeight="1">
      <c r="A650" s="1" t="s">
        <v>3302</v>
      </c>
      <c r="B650" s="1" t="s">
        <v>3303</v>
      </c>
      <c r="C650" s="2" t="s">
        <v>3304</v>
      </c>
      <c r="D650" s="5" t="str">
        <f>IMAGE("https://drive.google.com/uc?export=view&amp;id=1jalfWz-ppxDEQhdb8OJW-Ny40L7gIVVz",2)</f>
        <v/>
      </c>
      <c r="E650" s="5" t="str">
        <f>IMAGE("https://drive.google.com/uc?export=view&amp;id=1jalfWz-ppxDEQhdb8OJW-Ny40L7gIVVz",1)</f>
        <v/>
      </c>
      <c r="F650" s="6" t="s">
        <v>3305</v>
      </c>
      <c r="G650" s="6" t="s">
        <v>3306</v>
      </c>
      <c r="H650" s="1" t="s">
        <v>30</v>
      </c>
      <c r="I650" s="7">
        <v>45913.55564976852</v>
      </c>
      <c r="J650" s="7">
        <v>45897.59390046296</v>
      </c>
      <c r="K650" s="1" t="s">
        <v>31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60.0" customHeight="1">
      <c r="A651" s="1" t="s">
        <v>3307</v>
      </c>
      <c r="B651" s="1" t="s">
        <v>3308</v>
      </c>
      <c r="C651" s="2" t="s">
        <v>3309</v>
      </c>
      <c r="D651" s="5" t="str">
        <f>IMAGE("https://drive.google.com/uc?export=view&amp;id=1-tSYq_YpD-az34WStI7ieqs5LdO0fr7d",2)</f>
        <v/>
      </c>
      <c r="E651" s="5" t="str">
        <f>IMAGE("https://drive.google.com/uc?export=view&amp;id=1-tSYq_YpD-az34WStI7ieqs5LdO0fr7d",1)</f>
        <v/>
      </c>
      <c r="F651" s="6" t="s">
        <v>3310</v>
      </c>
      <c r="G651" s="6" t="s">
        <v>3311</v>
      </c>
      <c r="H651" s="1" t="s">
        <v>16</v>
      </c>
      <c r="I651" s="7">
        <v>45873.51213633102</v>
      </c>
      <c r="J651" s="7">
        <v>45890.47050736111</v>
      </c>
      <c r="K651" s="1" t="s">
        <v>17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60.0" customHeight="1">
      <c r="A652" s="1" t="s">
        <v>3312</v>
      </c>
      <c r="B652" s="1" t="s">
        <v>3313</v>
      </c>
      <c r="C652" s="2" t="s">
        <v>3314</v>
      </c>
      <c r="D652" s="5" t="str">
        <f>IMAGE("https://drive.google.com/uc?export=view&amp;id=1nHp-NdTA4Sy3OWSDcK5AwYWnmMMJWVEt",2)</f>
        <v/>
      </c>
      <c r="E652" s="5" t="str">
        <f>IMAGE("https://drive.google.com/uc?export=view&amp;id=1nHp-NdTA4Sy3OWSDcK5AwYWnmMMJWVEt",1)</f>
        <v/>
      </c>
      <c r="F652" s="6" t="s">
        <v>3315</v>
      </c>
      <c r="G652" s="6" t="s">
        <v>3316</v>
      </c>
      <c r="H652" s="1" t="s">
        <v>23</v>
      </c>
      <c r="I652" s="7">
        <v>45898.58374832176</v>
      </c>
      <c r="J652" s="7">
        <v>45898.5777662037</v>
      </c>
      <c r="K652" s="1" t="s">
        <v>24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60.0" customHeight="1">
      <c r="A653" s="1" t="s">
        <v>3317</v>
      </c>
      <c r="B653" s="1" t="s">
        <v>3318</v>
      </c>
      <c r="C653" s="2" t="s">
        <v>3319</v>
      </c>
      <c r="D653" s="5" t="str">
        <f>IMAGE("https://drive.google.com/uc?export=view&amp;id=10SiEpAKPRNrRT8faUe9K8n6VBygx782M",2)</f>
        <v/>
      </c>
      <c r="E653" s="5" t="str">
        <f>IMAGE("https://drive.google.com/uc?export=view&amp;id=10SiEpAKPRNrRT8faUe9K8n6VBygx782M",1)</f>
        <v/>
      </c>
      <c r="F653" s="6" t="s">
        <v>3320</v>
      </c>
      <c r="G653" s="6" t="s">
        <v>3321</v>
      </c>
      <c r="H653" s="1" t="s">
        <v>820</v>
      </c>
      <c r="I653" s="7">
        <v>46017.52154775463</v>
      </c>
      <c r="J653" s="7">
        <v>46010.985497685186</v>
      </c>
      <c r="K653" s="1" t="s">
        <v>821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60.0" customHeight="1">
      <c r="A654" s="1" t="s">
        <v>3322</v>
      </c>
      <c r="B654" s="1" t="s">
        <v>3323</v>
      </c>
      <c r="C654" s="2" t="s">
        <v>3324</v>
      </c>
      <c r="D654" s="5" t="str">
        <f>IMAGE("https://drive.google.com/uc?export=view&amp;id=1cGykaSJEx6dwq6fF-aFd5nHWh2n97U3G",2)</f>
        <v/>
      </c>
      <c r="E654" s="5" t="str">
        <f>IMAGE("https://drive.google.com/uc?export=view&amp;id=1cGykaSJEx6dwq6fF-aFd5nHWh2n97U3G",1)</f>
        <v/>
      </c>
      <c r="F654" s="6" t="s">
        <v>3325</v>
      </c>
      <c r="G654" s="6" t="s">
        <v>3326</v>
      </c>
      <c r="H654" s="1" t="s">
        <v>1682</v>
      </c>
      <c r="I654" s="7">
        <v>45933.668218125</v>
      </c>
      <c r="J654" s="7">
        <v>45933.66830991898</v>
      </c>
      <c r="K654" s="1" t="s">
        <v>1683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60.0" customHeight="1">
      <c r="A655" s="1" t="s">
        <v>3327</v>
      </c>
      <c r="B655" s="1" t="s">
        <v>3328</v>
      </c>
      <c r="C655" s="2" t="s">
        <v>3329</v>
      </c>
      <c r="D655" s="5" t="str">
        <f>IMAGE("https://drive.google.com/uc?export=view&amp;id=1EwFZy6ZE2KxfelwMG-yoA-KGEAgfCwSl",2)</f>
        <v/>
      </c>
      <c r="E655" s="5" t="str">
        <f>IMAGE("https://drive.google.com/uc?export=view&amp;id=1EwFZy6ZE2KxfelwMG-yoA-KGEAgfCwSl",1)</f>
        <v/>
      </c>
      <c r="F655" s="6" t="s">
        <v>3330</v>
      </c>
      <c r="G655" s="6" t="s">
        <v>3331</v>
      </c>
      <c r="H655" s="1" t="s">
        <v>135</v>
      </c>
      <c r="I655" s="7">
        <v>46060.6450487963</v>
      </c>
      <c r="J655" s="7">
        <v>46060.632731481484</v>
      </c>
      <c r="K655" s="1" t="s">
        <v>136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60.0" customHeight="1">
      <c r="A656" s="1" t="s">
        <v>3332</v>
      </c>
      <c r="B656" s="1" t="s">
        <v>3333</v>
      </c>
      <c r="C656" s="2" t="s">
        <v>3334</v>
      </c>
      <c r="D656" s="5" t="str">
        <f>IMAGE("https://drive.google.com/uc?export=view&amp;id=1F3Tm9XTdW8CulY7xOopnHw7tSb748jD1",2)</f>
        <v/>
      </c>
      <c r="E656" s="5" t="str">
        <f>IMAGE("https://drive.google.com/uc?export=view&amp;id=1F3Tm9XTdW8CulY7xOopnHw7tSb748jD1",1)</f>
        <v/>
      </c>
      <c r="F656" s="6" t="s">
        <v>3335</v>
      </c>
      <c r="G656" s="6" t="s">
        <v>3336</v>
      </c>
      <c r="H656" s="1" t="s">
        <v>135</v>
      </c>
      <c r="I656" s="7">
        <v>46060.64504996528</v>
      </c>
      <c r="J656" s="7">
        <v>46060.639560185184</v>
      </c>
      <c r="K656" s="1" t="s">
        <v>136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60.0" customHeight="1">
      <c r="A657" s="1" t="s">
        <v>3337</v>
      </c>
      <c r="B657" s="1" t="s">
        <v>3338</v>
      </c>
      <c r="C657" s="2" t="s">
        <v>3339</v>
      </c>
      <c r="D657" s="5" t="str">
        <f>IMAGE("https://drive.google.com/uc?export=view&amp;id=1Phgyvzx9ZNqRRZIzq7JQdqMZNQXaaqu2",2)</f>
        <v/>
      </c>
      <c r="E657" s="5" t="str">
        <f>IMAGE("https://drive.google.com/uc?export=view&amp;id=1Phgyvzx9ZNqRRZIzq7JQdqMZNQXaaqu2",1)</f>
        <v/>
      </c>
      <c r="F657" s="6" t="s">
        <v>3340</v>
      </c>
      <c r="G657" s="6" t="s">
        <v>3341</v>
      </c>
      <c r="H657" s="1" t="s">
        <v>16</v>
      </c>
      <c r="I657" s="7">
        <v>45872.78310759259</v>
      </c>
      <c r="J657" s="7">
        <v>45887.50509460648</v>
      </c>
      <c r="K657" s="1" t="s">
        <v>17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60.0" customHeight="1">
      <c r="A658" s="1" t="s">
        <v>3342</v>
      </c>
      <c r="B658" s="1" t="s">
        <v>3343</v>
      </c>
      <c r="C658" s="2" t="s">
        <v>3344</v>
      </c>
      <c r="D658" s="5" t="str">
        <f>IMAGE("https://drive.google.com/uc?export=view&amp;id=1tmWQBaCs5kHGMAzlkpUatXMk3S59KXpB",2)</f>
        <v/>
      </c>
      <c r="E658" s="5" t="str">
        <f>IMAGE("https://drive.google.com/uc?export=view&amp;id=1tmWQBaCs5kHGMAzlkpUatXMk3S59KXpB",1)</f>
        <v/>
      </c>
      <c r="F658" s="6" t="s">
        <v>3345</v>
      </c>
      <c r="G658" s="6" t="s">
        <v>3346</v>
      </c>
      <c r="H658" s="1" t="s">
        <v>23</v>
      </c>
      <c r="I658" s="7">
        <v>45898.58365305555</v>
      </c>
      <c r="J658" s="7">
        <v>45898.5777662037</v>
      </c>
      <c r="K658" s="1" t="s">
        <v>24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60.0" customHeight="1">
      <c r="A659" s="1" t="s">
        <v>3347</v>
      </c>
      <c r="B659" s="1" t="s">
        <v>3348</v>
      </c>
      <c r="C659" s="2" t="s">
        <v>3349</v>
      </c>
      <c r="D659" s="5" t="str">
        <f>IMAGE("https://drive.google.com/uc?export=view&amp;id=1HmnccpRxUVp_OA_Vcw-Pwz95YF2NMulp",2)</f>
        <v/>
      </c>
      <c r="E659" s="5" t="str">
        <f>IMAGE("https://drive.google.com/uc?export=view&amp;id=1HmnccpRxUVp_OA_Vcw-Pwz95YF2NMulp",1)</f>
        <v/>
      </c>
      <c r="F659" s="6" t="s">
        <v>3350</v>
      </c>
      <c r="G659" s="6" t="s">
        <v>3351</v>
      </c>
      <c r="H659" s="1" t="s">
        <v>272</v>
      </c>
      <c r="I659" s="7">
        <v>46078.461255601855</v>
      </c>
      <c r="J659" s="7">
        <v>46078.43010416666</v>
      </c>
      <c r="K659" s="1" t="s">
        <v>273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60.0" customHeight="1">
      <c r="A660" s="1" t="s">
        <v>3352</v>
      </c>
      <c r="B660" s="1" t="s">
        <v>3353</v>
      </c>
      <c r="C660" s="2" t="s">
        <v>3354</v>
      </c>
      <c r="D660" s="5" t="str">
        <f>IMAGE("https://drive.google.com/uc?export=view&amp;id=1gcbnlQOtTj87YTCbNhIrpaOFBDQKBScH",2)</f>
        <v/>
      </c>
      <c r="E660" s="5" t="str">
        <f>IMAGE("https://drive.google.com/uc?export=view&amp;id=1gcbnlQOtTj87YTCbNhIrpaOFBDQKBScH",1)</f>
        <v/>
      </c>
      <c r="F660" s="6" t="s">
        <v>3355</v>
      </c>
      <c r="G660" s="6" t="s">
        <v>3356</v>
      </c>
      <c r="H660" s="1" t="s">
        <v>304</v>
      </c>
      <c r="I660" s="7">
        <v>45860.69631716435</v>
      </c>
      <c r="J660" s="7">
        <v>45924.57206009259</v>
      </c>
      <c r="K660" s="1" t="s">
        <v>305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60.0" customHeight="1">
      <c r="A661" s="1" t="s">
        <v>3357</v>
      </c>
      <c r="B661" s="1" t="s">
        <v>3358</v>
      </c>
      <c r="C661" s="2" t="s">
        <v>3359</v>
      </c>
      <c r="D661" s="5" t="str">
        <f>IMAGE("https://drive.google.com/uc?export=view&amp;id=1KYFevxuTcjwnrcj-tVjlfOqRaSmi8oQb",2)</f>
        <v/>
      </c>
      <c r="E661" s="5" t="str">
        <f>IMAGE("https://drive.google.com/uc?export=view&amp;id=1KYFevxuTcjwnrcj-tVjlfOqRaSmi8oQb",1)</f>
        <v/>
      </c>
      <c r="F661" s="6" t="s">
        <v>3360</v>
      </c>
      <c r="G661" s="6" t="s">
        <v>3361</v>
      </c>
      <c r="H661" s="1" t="s">
        <v>114</v>
      </c>
      <c r="I661" s="7">
        <v>46017.51496811342</v>
      </c>
      <c r="J661" s="7">
        <v>46012.81717592593</v>
      </c>
      <c r="K661" s="1" t="s">
        <v>115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60.0" customHeight="1">
      <c r="A662" s="1" t="s">
        <v>3362</v>
      </c>
      <c r="B662" s="1" t="s">
        <v>3363</v>
      </c>
      <c r="C662" s="2" t="s">
        <v>3364</v>
      </c>
      <c r="D662" s="5" t="str">
        <f>IMAGE("https://drive.google.com/uc?export=view&amp;id=1E8Z9HaDpkMw9w-gA9Dtqmkcg3e-5OVVh",2)</f>
        <v/>
      </c>
      <c r="E662" s="5" t="str">
        <f>IMAGE("https://drive.google.com/uc?export=view&amp;id=1E8Z9HaDpkMw9w-gA9Dtqmkcg3e-5OVVh",1)</f>
        <v/>
      </c>
      <c r="F662" s="6" t="s">
        <v>3365</v>
      </c>
      <c r="G662" s="6" t="s">
        <v>3366</v>
      </c>
      <c r="H662" s="1" t="s">
        <v>449</v>
      </c>
      <c r="I662" s="7">
        <v>46005.708289166665</v>
      </c>
      <c r="J662" s="7">
        <v>46005.70673611111</v>
      </c>
      <c r="K662" s="1" t="s">
        <v>450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60.0" customHeight="1">
      <c r="A663" s="1" t="s">
        <v>3367</v>
      </c>
      <c r="B663" s="1" t="s">
        <v>3368</v>
      </c>
      <c r="C663" s="2" t="s">
        <v>3369</v>
      </c>
      <c r="D663" s="5" t="str">
        <f>IMAGE("https://drive.google.com/uc?export=view&amp;id=1QIGEfEWK7Znv4sxc4KD6-LgvIlk9Le01",2)</f>
        <v/>
      </c>
      <c r="E663" s="5" t="str">
        <f>IMAGE("https://drive.google.com/uc?export=view&amp;id=1QIGEfEWK7Znv4sxc4KD6-LgvIlk9Le01",1)</f>
        <v/>
      </c>
      <c r="F663" s="6" t="s">
        <v>3370</v>
      </c>
      <c r="G663" s="6" t="s">
        <v>3371</v>
      </c>
      <c r="H663" s="1" t="s">
        <v>449</v>
      </c>
      <c r="I663" s="7">
        <v>46009.402300925925</v>
      </c>
      <c r="J663" s="7">
        <v>46008.71978009259</v>
      </c>
      <c r="K663" s="1" t="s">
        <v>450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60.0" customHeight="1">
      <c r="A664" s="1" t="s">
        <v>3372</v>
      </c>
      <c r="B664" s="1" t="s">
        <v>3373</v>
      </c>
      <c r="C664" s="2" t="s">
        <v>3374</v>
      </c>
      <c r="D664" s="5" t="str">
        <f>IMAGE("https://drive.google.com/uc?export=view&amp;id=11e8Y3Ex4SxQVOyfiAUeo1ZISfweKJcvd",2)</f>
        <v/>
      </c>
      <c r="E664" s="5" t="str">
        <f>IMAGE("https://drive.google.com/uc?export=view&amp;id=11e8Y3Ex4SxQVOyfiAUeo1ZISfweKJcvd",1)</f>
        <v/>
      </c>
      <c r="F664" s="6" t="s">
        <v>3375</v>
      </c>
      <c r="G664" s="6" t="s">
        <v>3376</v>
      </c>
      <c r="H664" s="1" t="s">
        <v>92</v>
      </c>
      <c r="I664" s="7">
        <v>46006.51343153935</v>
      </c>
      <c r="J664" s="7">
        <v>46006.477314814816</v>
      </c>
      <c r="K664" s="1" t="s">
        <v>93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60.0" customHeight="1">
      <c r="A665" s="1" t="s">
        <v>3377</v>
      </c>
      <c r="B665" s="1" t="s">
        <v>3378</v>
      </c>
      <c r="C665" s="2" t="s">
        <v>3379</v>
      </c>
      <c r="D665" s="5" t="str">
        <f>IMAGE("https://drive.google.com/uc?export=view&amp;id=1Q3IVZaxV-XBrwaPX7qfi_U4uvNvLnBFq",2)</f>
        <v/>
      </c>
      <c r="E665" s="5" t="str">
        <f>IMAGE("https://drive.google.com/uc?export=view&amp;id=1Q3IVZaxV-XBrwaPX7qfi_U4uvNvLnBFq",1)</f>
        <v/>
      </c>
      <c r="F665" s="6" t="s">
        <v>3380</v>
      </c>
      <c r="G665" s="6" t="s">
        <v>3381</v>
      </c>
      <c r="H665" s="1" t="s">
        <v>63</v>
      </c>
      <c r="I665" s="7">
        <v>45828.542870254634</v>
      </c>
      <c r="J665" s="7">
        <v>45860.69146229167</v>
      </c>
      <c r="K665" s="1" t="s">
        <v>64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60.0" customHeight="1">
      <c r="A666" s="1" t="s">
        <v>3382</v>
      </c>
      <c r="B666" s="1" t="s">
        <v>3383</v>
      </c>
      <c r="C666" s="2" t="s">
        <v>3384</v>
      </c>
      <c r="D666" s="5" t="str">
        <f>IMAGE("https://drive.google.com/uc?export=view&amp;id=1YWniU5XyTTN0bNwapZpVf3b2BGtyKyTD",2)</f>
        <v/>
      </c>
      <c r="E666" s="5" t="str">
        <f>IMAGE("https://drive.google.com/uc?export=view&amp;id=1YWniU5XyTTN0bNwapZpVf3b2BGtyKyTD",1)</f>
        <v/>
      </c>
      <c r="F666" s="6" t="s">
        <v>3385</v>
      </c>
      <c r="G666" s="6" t="s">
        <v>3386</v>
      </c>
      <c r="H666" s="1" t="s">
        <v>449</v>
      </c>
      <c r="I666" s="7">
        <v>46009.40149902778</v>
      </c>
      <c r="J666" s="7">
        <v>46008.735451388886</v>
      </c>
      <c r="K666" s="1" t="s">
        <v>450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60.0" customHeight="1">
      <c r="A667" s="1" t="s">
        <v>3387</v>
      </c>
      <c r="B667" s="1" t="s">
        <v>3388</v>
      </c>
      <c r="C667" s="2" t="s">
        <v>3389</v>
      </c>
      <c r="D667" s="5" t="str">
        <f>IMAGE("https://drive.google.com/uc?export=view&amp;id=1Vnwkn4Bk0rweR1uKN84Wvz-S9SmRzO33",2)</f>
        <v/>
      </c>
      <c r="E667" s="5" t="str">
        <f>IMAGE("https://drive.google.com/uc?export=view&amp;id=1Vnwkn4Bk0rweR1uKN84Wvz-S9SmRzO33",1)</f>
        <v/>
      </c>
      <c r="F667" s="6" t="s">
        <v>3390</v>
      </c>
      <c r="G667" s="6" t="s">
        <v>3391</v>
      </c>
      <c r="H667" s="1" t="s">
        <v>16</v>
      </c>
      <c r="I667" s="7">
        <v>45887.49976648148</v>
      </c>
      <c r="J667" s="7">
        <v>45890.46400743056</v>
      </c>
      <c r="K667" s="1" t="s">
        <v>17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60.0" customHeight="1">
      <c r="A668" s="1" t="s">
        <v>3392</v>
      </c>
      <c r="B668" s="1" t="s">
        <v>3393</v>
      </c>
      <c r="C668" s="2" t="s">
        <v>3394</v>
      </c>
      <c r="D668" s="5" t="str">
        <f>IMAGE("https://drive.google.com/uc?export=view&amp;id=1UXUudOnxbsfKoEtVBoqMLnEOJIbgNZBe",2)</f>
        <v/>
      </c>
      <c r="E668" s="5" t="str">
        <f>IMAGE("https://drive.google.com/uc?export=view&amp;id=1UXUudOnxbsfKoEtVBoqMLnEOJIbgNZBe",1)</f>
        <v/>
      </c>
      <c r="F668" s="6" t="s">
        <v>3395</v>
      </c>
      <c r="G668" s="6" t="s">
        <v>3396</v>
      </c>
      <c r="H668" s="1" t="s">
        <v>23</v>
      </c>
      <c r="I668" s="7">
        <v>45898.583597523146</v>
      </c>
      <c r="J668" s="7">
        <v>45898.57777777778</v>
      </c>
      <c r="K668" s="1" t="s">
        <v>24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60.0" customHeight="1">
      <c r="A669" s="1" t="s">
        <v>3397</v>
      </c>
      <c r="B669" s="1" t="s">
        <v>3398</v>
      </c>
      <c r="C669" s="2" t="s">
        <v>3399</v>
      </c>
      <c r="D669" s="5" t="str">
        <f>IMAGE("https://drive.google.com/uc?export=view&amp;id=1rrefCkqbQOorcXMX2IVTfSw_SEDGchnW",2)</f>
        <v/>
      </c>
      <c r="E669" s="5" t="str">
        <f>IMAGE("https://drive.google.com/uc?export=view&amp;id=1rrefCkqbQOorcXMX2IVTfSw_SEDGchnW",1)</f>
        <v/>
      </c>
      <c r="F669" s="6" t="s">
        <v>3400</v>
      </c>
      <c r="G669" s="6" t="s">
        <v>3401</v>
      </c>
      <c r="H669" s="1" t="s">
        <v>16</v>
      </c>
      <c r="I669" s="7">
        <v>45890.455934502315</v>
      </c>
      <c r="J669" s="7">
        <v>45890.58631762731</v>
      </c>
      <c r="K669" s="1" t="s">
        <v>17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60.0" customHeight="1">
      <c r="A670" s="1" t="s">
        <v>3402</v>
      </c>
      <c r="B670" s="1" t="s">
        <v>3403</v>
      </c>
      <c r="C670" s="2" t="s">
        <v>3404</v>
      </c>
      <c r="D670" s="5" t="str">
        <f>IMAGE("https://drive.google.com/uc?export=view&amp;id=1sPyfcCeAHhr1CaHD4a0abt79vHFdpjU2",2)</f>
        <v/>
      </c>
      <c r="E670" s="5" t="str">
        <f>IMAGE("https://drive.google.com/uc?export=view&amp;id=1sPyfcCeAHhr1CaHD4a0abt79vHFdpjU2",1)</f>
        <v/>
      </c>
      <c r="F670" s="6" t="s">
        <v>3405</v>
      </c>
      <c r="G670" s="6" t="s">
        <v>3406</v>
      </c>
      <c r="H670" s="1" t="s">
        <v>23</v>
      </c>
      <c r="I670" s="7">
        <v>45898.58362056713</v>
      </c>
      <c r="J670" s="7">
        <v>45898.57777777778</v>
      </c>
      <c r="K670" s="1" t="s">
        <v>24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60.0" customHeight="1">
      <c r="A671" s="1" t="s">
        <v>3407</v>
      </c>
      <c r="B671" s="1" t="s">
        <v>3408</v>
      </c>
      <c r="C671" s="2" t="s">
        <v>3409</v>
      </c>
      <c r="D671" s="5" t="str">
        <f>IMAGE("https://drive.google.com/uc?export=view&amp;id=11r5Cn_iC1VD1gpkuAaro-j0TiR-1ATKp",2)</f>
        <v/>
      </c>
      <c r="E671" s="5" t="str">
        <f>IMAGE("https://drive.google.com/uc?export=view&amp;id=11r5Cn_iC1VD1gpkuAaro-j0TiR-1ATKp",1)</f>
        <v/>
      </c>
      <c r="F671" s="6" t="s">
        <v>3410</v>
      </c>
      <c r="G671" s="6" t="s">
        <v>3411</v>
      </c>
      <c r="H671" s="1" t="s">
        <v>70</v>
      </c>
      <c r="I671" s="7">
        <v>45868.78793686343</v>
      </c>
      <c r="J671" s="7">
        <v>45868.78811879629</v>
      </c>
      <c r="K671" s="1" t="s">
        <v>71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60.0" customHeight="1">
      <c r="A672" s="1" t="s">
        <v>3412</v>
      </c>
      <c r="B672" s="1" t="s">
        <v>3413</v>
      </c>
      <c r="C672" s="2" t="s">
        <v>3414</v>
      </c>
      <c r="D672" s="5" t="str">
        <f>IMAGE("https://drive.google.com/uc?export=view&amp;id=1yQDLLes0Ugib4NMwkQyopzs8c1SVccBU",2)</f>
        <v/>
      </c>
      <c r="E672" s="5" t="str">
        <f>IMAGE("https://drive.google.com/uc?export=view&amp;id=1yQDLLes0Ugib4NMwkQyopzs8c1SVccBU",1)</f>
        <v/>
      </c>
      <c r="F672" s="6" t="s">
        <v>3415</v>
      </c>
      <c r="G672" s="6" t="s">
        <v>3416</v>
      </c>
      <c r="H672" s="1" t="s">
        <v>820</v>
      </c>
      <c r="I672" s="7">
        <v>46009.71324391203</v>
      </c>
      <c r="J672" s="7">
        <v>46009.712951388894</v>
      </c>
      <c r="K672" s="1" t="s">
        <v>821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60.0" customHeight="1">
      <c r="A673" s="1" t="s">
        <v>3417</v>
      </c>
      <c r="B673" s="1" t="s">
        <v>3418</v>
      </c>
      <c r="C673" s="2" t="s">
        <v>3419</v>
      </c>
      <c r="D673" s="5" t="str">
        <f>IMAGE("https://drive.google.com/uc?export=view&amp;id=1x82fmO6EhZqF9GaD6IYz5z-Fg9sfaOtW",2)</f>
        <v/>
      </c>
      <c r="E673" s="5" t="str">
        <f>IMAGE("https://drive.google.com/uc?export=view&amp;id=1x82fmO6EhZqF9GaD6IYz5z-Fg9sfaOtW",1)</f>
        <v/>
      </c>
      <c r="F673" s="6" t="s">
        <v>3420</v>
      </c>
      <c r="G673" s="6" t="s">
        <v>3421</v>
      </c>
      <c r="H673" s="1" t="s">
        <v>30</v>
      </c>
      <c r="I673" s="7">
        <v>45913.546566377314</v>
      </c>
      <c r="J673" s="7">
        <v>45904.543125</v>
      </c>
      <c r="K673" s="1" t="s">
        <v>31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60.0" customHeight="1">
      <c r="A674" s="1" t="s">
        <v>3422</v>
      </c>
      <c r="B674" s="1" t="s">
        <v>3423</v>
      </c>
      <c r="C674" s="2" t="s">
        <v>3424</v>
      </c>
      <c r="D674" s="5" t="str">
        <f>IMAGE("https://drive.google.com/uc?export=view&amp;id=1poHquTpiP6Vm0KaRsEOFp6QyqGcz8edc",2)</f>
        <v/>
      </c>
      <c r="E674" s="5" t="str">
        <f>IMAGE("https://drive.google.com/uc?export=view&amp;id=1poHquTpiP6Vm0KaRsEOFp6QyqGcz8edc",1)</f>
        <v/>
      </c>
      <c r="F674" s="6" t="s">
        <v>3425</v>
      </c>
      <c r="G674" s="6" t="s">
        <v>3426</v>
      </c>
      <c r="H674" s="1" t="s">
        <v>92</v>
      </c>
      <c r="I674" s="7">
        <v>46005.97656202546</v>
      </c>
      <c r="J674" s="7">
        <v>46005.976018518515</v>
      </c>
      <c r="K674" s="1" t="s">
        <v>93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60.0" customHeight="1">
      <c r="A675" s="1" t="s">
        <v>3427</v>
      </c>
      <c r="B675" s="1" t="s">
        <v>3428</v>
      </c>
      <c r="C675" s="2" t="s">
        <v>3429</v>
      </c>
      <c r="D675" s="5" t="str">
        <f>IMAGE("https://drive.google.com/uc?export=view&amp;id=1sGstGIp3knsG61rqCkgb46E46WEENMO9",2)</f>
        <v/>
      </c>
      <c r="E675" s="5" t="str">
        <f>IMAGE("https://drive.google.com/uc?export=view&amp;id=1sGstGIp3knsG61rqCkgb46E46WEENMO9",1)</f>
        <v/>
      </c>
      <c r="F675" s="6" t="s">
        <v>3430</v>
      </c>
      <c r="G675" s="6" t="s">
        <v>3431</v>
      </c>
      <c r="H675" s="1" t="s">
        <v>449</v>
      </c>
      <c r="I675" s="7">
        <v>46009.40710391203</v>
      </c>
      <c r="J675" s="7">
        <v>46008.7716087963</v>
      </c>
      <c r="K675" s="1" t="s">
        <v>450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60.0" customHeight="1">
      <c r="A676" s="1" t="s">
        <v>3432</v>
      </c>
      <c r="B676" s="1" t="s">
        <v>3433</v>
      </c>
      <c r="C676" s="2" t="s">
        <v>3434</v>
      </c>
      <c r="D676" s="5" t="str">
        <f>IMAGE("https://drive.google.com/uc?export=view&amp;id=1jV1N_rm2IVnm54cl_OHdSnQuRQaEOFwu",2)</f>
        <v/>
      </c>
      <c r="E676" s="5" t="str">
        <f>IMAGE("https://drive.google.com/uc?export=view&amp;id=1jV1N_rm2IVnm54cl_OHdSnQuRQaEOFwu",1)</f>
        <v/>
      </c>
      <c r="F676" s="6" t="s">
        <v>3435</v>
      </c>
      <c r="G676" s="6" t="s">
        <v>3436</v>
      </c>
      <c r="H676" s="1" t="s">
        <v>63</v>
      </c>
      <c r="I676" s="7">
        <v>45828.542893136575</v>
      </c>
      <c r="J676" s="7">
        <v>45860.69145820602</v>
      </c>
      <c r="K676" s="1" t="s">
        <v>64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60.0" customHeight="1">
      <c r="A677" s="1" t="s">
        <v>3437</v>
      </c>
      <c r="B677" s="1" t="s">
        <v>3438</v>
      </c>
      <c r="C677" s="2" t="s">
        <v>3439</v>
      </c>
      <c r="D677" s="5" t="str">
        <f>IMAGE("https://drive.google.com/uc?export=view&amp;id=1bheXu2aLjQSEoLWUbw-RLjFngs6Esmc-",2)</f>
        <v/>
      </c>
      <c r="E677" s="5" t="str">
        <f>IMAGE("https://drive.google.com/uc?export=view&amp;id=1bheXu2aLjQSEoLWUbw-RLjFngs6Esmc-",1)</f>
        <v/>
      </c>
      <c r="F677" s="6" t="s">
        <v>3440</v>
      </c>
      <c r="G677" s="6" t="s">
        <v>3441</v>
      </c>
      <c r="H677" s="1" t="s">
        <v>114</v>
      </c>
      <c r="I677" s="7">
        <v>46017.515165185185</v>
      </c>
      <c r="J677" s="7">
        <v>46013.46179398148</v>
      </c>
      <c r="K677" s="1" t="s">
        <v>115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60.0" customHeight="1">
      <c r="A678" s="1" t="s">
        <v>3442</v>
      </c>
      <c r="B678" s="1" t="s">
        <v>3443</v>
      </c>
      <c r="C678" s="2" t="s">
        <v>3444</v>
      </c>
      <c r="D678" s="5" t="str">
        <f>IMAGE("https://drive.google.com/uc?export=view&amp;id=1tF2y0eXfuknsaqbxl7ja59Bs0a9j0U0z",2)</f>
        <v/>
      </c>
      <c r="E678" s="5" t="str">
        <f>IMAGE("https://drive.google.com/uc?export=view&amp;id=1tF2y0eXfuknsaqbxl7ja59Bs0a9j0U0z",1)</f>
        <v/>
      </c>
      <c r="F678" s="6" t="s">
        <v>3445</v>
      </c>
      <c r="G678" s="6" t="s">
        <v>3446</v>
      </c>
      <c r="H678" s="1" t="s">
        <v>114</v>
      </c>
      <c r="I678" s="7">
        <v>45828.5429390162</v>
      </c>
      <c r="J678" s="7">
        <v>45860.691477037035</v>
      </c>
      <c r="K678" s="1" t="s">
        <v>115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60.0" customHeight="1">
      <c r="A679" s="1" t="s">
        <v>3447</v>
      </c>
      <c r="B679" s="1" t="s">
        <v>3448</v>
      </c>
      <c r="C679" s="2" t="s">
        <v>3449</v>
      </c>
      <c r="D679" s="5" t="str">
        <f>IMAGE("https://drive.google.com/uc?export=view&amp;id=12YWGBqiEmJpoT2wx85RQGAXznQYjH4Nc",2)</f>
        <v/>
      </c>
      <c r="E679" s="5" t="str">
        <f>IMAGE("https://drive.google.com/uc?export=view&amp;id=12YWGBqiEmJpoT2wx85RQGAXznQYjH4Nc",1)</f>
        <v/>
      </c>
      <c r="F679" s="6" t="s">
        <v>3450</v>
      </c>
      <c r="G679" s="6" t="s">
        <v>3451</v>
      </c>
      <c r="H679" s="1" t="s">
        <v>16</v>
      </c>
      <c r="I679" s="7">
        <v>45872.785574953705</v>
      </c>
      <c r="J679" s="7">
        <v>45890.470645995374</v>
      </c>
      <c r="K679" s="1" t="s">
        <v>17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60.0" customHeight="1">
      <c r="A680" s="1" t="s">
        <v>3452</v>
      </c>
      <c r="B680" s="1" t="s">
        <v>3453</v>
      </c>
      <c r="C680" s="2" t="s">
        <v>3454</v>
      </c>
      <c r="D680" s="5" t="str">
        <f>IMAGE("https://drive.google.com/uc?export=view&amp;id=1jx044hrXCkEfRD0AqK-WP8xrpHRaNJCu",2)</f>
        <v/>
      </c>
      <c r="E680" s="5" t="str">
        <f>IMAGE("https://drive.google.com/uc?export=view&amp;id=1jx044hrXCkEfRD0AqK-WP8xrpHRaNJCu",1)</f>
        <v/>
      </c>
      <c r="F680" s="6" t="s">
        <v>3455</v>
      </c>
      <c r="G680" s="6" t="s">
        <v>3456</v>
      </c>
      <c r="H680" s="1" t="s">
        <v>23</v>
      </c>
      <c r="I680" s="7">
        <v>45898.58372115741</v>
      </c>
      <c r="J680" s="7">
        <v>45898.57777777778</v>
      </c>
      <c r="K680" s="1" t="s">
        <v>24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60.0" customHeight="1">
      <c r="A681" s="1" t="s">
        <v>3457</v>
      </c>
      <c r="B681" s="1" t="s">
        <v>3458</v>
      </c>
      <c r="C681" s="2" t="s">
        <v>3459</v>
      </c>
      <c r="D681" s="5" t="str">
        <f>IMAGE("https://drive.google.com/uc?export=view&amp;id=1l6rCQsEsbkKPkHio6bA2cDoltvsIOfHT",2)</f>
        <v/>
      </c>
      <c r="E681" s="5" t="str">
        <f>IMAGE("https://drive.google.com/uc?export=view&amp;id=1l6rCQsEsbkKPkHio6bA2cDoltvsIOfHT",1)</f>
        <v/>
      </c>
      <c r="F681" s="6" t="s">
        <v>3460</v>
      </c>
      <c r="G681" s="6" t="s">
        <v>3461</v>
      </c>
      <c r="H681" s="1" t="s">
        <v>16</v>
      </c>
      <c r="I681" s="7">
        <v>45875.06970883102</v>
      </c>
      <c r="J681" s="7">
        <v>45890.46414049769</v>
      </c>
      <c r="K681" s="1" t="s">
        <v>17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60.0" customHeight="1">
      <c r="A682" s="1" t="s">
        <v>3462</v>
      </c>
      <c r="B682" s="1" t="s">
        <v>3463</v>
      </c>
      <c r="C682" s="2" t="s">
        <v>3464</v>
      </c>
      <c r="D682" s="5" t="str">
        <f>IMAGE("https://drive.google.com/uc?export=view&amp;id=1CyzFZnZkltaA96ERQz4J_So448SFNoUS",2)</f>
        <v/>
      </c>
      <c r="E682" s="5" t="str">
        <f>IMAGE("https://drive.google.com/uc?export=view&amp;id=1CyzFZnZkltaA96ERQz4J_So448SFNoUS",1)</f>
        <v/>
      </c>
      <c r="F682" s="6" t="s">
        <v>3465</v>
      </c>
      <c r="G682" s="6" t="s">
        <v>3466</v>
      </c>
      <c r="H682" s="1" t="s">
        <v>23</v>
      </c>
      <c r="I682" s="7">
        <v>45898.58362689815</v>
      </c>
      <c r="J682" s="7">
        <v>45898.57777777778</v>
      </c>
      <c r="K682" s="1" t="s">
        <v>24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60.0" customHeight="1">
      <c r="A683" s="1" t="s">
        <v>3467</v>
      </c>
      <c r="B683" s="1" t="s">
        <v>3468</v>
      </c>
      <c r="C683" s="2" t="s">
        <v>3469</v>
      </c>
      <c r="D683" s="5" t="str">
        <f>IMAGE("https://drive.google.com/uc?export=view&amp;id=1ANLim31YFP38gW8zWejfMOkU7LQpI4a2",2)</f>
        <v/>
      </c>
      <c r="E683" s="5" t="str">
        <f>IMAGE("https://drive.google.com/uc?export=view&amp;id=1ANLim31YFP38gW8zWejfMOkU7LQpI4a2",1)</f>
        <v/>
      </c>
      <c r="F683" s="6" t="s">
        <v>3470</v>
      </c>
      <c r="G683" s="6" t="s">
        <v>3471</v>
      </c>
      <c r="H683" s="1" t="s">
        <v>353</v>
      </c>
      <c r="I683" s="7">
        <v>45889.78032416667</v>
      </c>
      <c r="J683" s="7">
        <v>45889.78039851852</v>
      </c>
      <c r="K683" s="1" t="s">
        <v>354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60.0" customHeight="1">
      <c r="A684" s="1" t="s">
        <v>3472</v>
      </c>
      <c r="B684" s="1" t="s">
        <v>3473</v>
      </c>
      <c r="C684" s="2" t="s">
        <v>3474</v>
      </c>
      <c r="D684" s="5" t="str">
        <f>IMAGE("https://drive.google.com/uc?export=view&amp;id=1x19PC7EhqaZeuKyuQ2_NprOEMEK_j9VV",2)</f>
        <v/>
      </c>
      <c r="E684" s="5" t="str">
        <f>IMAGE("https://drive.google.com/uc?export=view&amp;id=1x19PC7EhqaZeuKyuQ2_NprOEMEK_j9VV",1)</f>
        <v/>
      </c>
      <c r="F684" s="6" t="s">
        <v>3475</v>
      </c>
      <c r="G684" s="6" t="s">
        <v>3476</v>
      </c>
      <c r="H684" s="1" t="s">
        <v>820</v>
      </c>
      <c r="I684" s="7">
        <v>46017.51911850694</v>
      </c>
      <c r="J684" s="7">
        <v>46012.693506944444</v>
      </c>
      <c r="K684" s="1" t="s">
        <v>821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60.0" customHeight="1">
      <c r="A685" s="1" t="s">
        <v>3477</v>
      </c>
      <c r="B685" s="1" t="s">
        <v>3478</v>
      </c>
      <c r="C685" s="2" t="s">
        <v>3479</v>
      </c>
      <c r="D685" s="5" t="str">
        <f>IMAGE("https://drive.google.com/uc?export=view&amp;id=1v3oXgaqf1ENptzupJBnM73oiG-OQwHPE",2)</f>
        <v/>
      </c>
      <c r="E685" s="5" t="str">
        <f>IMAGE("https://drive.google.com/uc?export=view&amp;id=1v3oXgaqf1ENptzupJBnM73oiG-OQwHPE",1)</f>
        <v/>
      </c>
      <c r="F685" s="6" t="s">
        <v>3480</v>
      </c>
      <c r="G685" s="6" t="s">
        <v>3481</v>
      </c>
      <c r="H685" s="1" t="s">
        <v>128</v>
      </c>
      <c r="I685" s="7">
        <v>45792.401787662035</v>
      </c>
      <c r="J685" s="7">
        <v>45860.707159791666</v>
      </c>
      <c r="K685" s="1" t="s">
        <v>129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60.0" customHeight="1">
      <c r="A686" s="1" t="s">
        <v>3482</v>
      </c>
      <c r="B686" s="1" t="s">
        <v>3483</v>
      </c>
      <c r="C686" s="2" t="s">
        <v>3484</v>
      </c>
      <c r="D686" s="5" t="str">
        <f>IMAGE("https://drive.google.com/uc?export=view&amp;id=1WTQcOO7CjipyL7rYqchbnHZYLlcblq_a",2)</f>
        <v/>
      </c>
      <c r="E686" s="5" t="str">
        <f>IMAGE("https://drive.google.com/uc?export=view&amp;id=1WTQcOO7CjipyL7rYqchbnHZYLlcblq_a",1)</f>
        <v/>
      </c>
      <c r="F686" s="6" t="s">
        <v>3485</v>
      </c>
      <c r="G686" s="6" t="s">
        <v>3486</v>
      </c>
      <c r="H686" s="1" t="s">
        <v>405</v>
      </c>
      <c r="I686" s="7">
        <v>46067.80863752315</v>
      </c>
      <c r="J686" s="7">
        <v>46067.79628472222</v>
      </c>
      <c r="K686" s="1" t="s">
        <v>406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60.0" customHeight="1">
      <c r="A687" s="1" t="s">
        <v>3487</v>
      </c>
      <c r="B687" s="1" t="s">
        <v>3488</v>
      </c>
      <c r="C687" s="2" t="s">
        <v>3489</v>
      </c>
      <c r="D687" s="5" t="str">
        <f>IMAGE("https://drive.google.com/uc?export=view&amp;id=1hwayAqb2duoqOo3NaZfAYIJ2NguWGfNZ",2)</f>
        <v/>
      </c>
      <c r="E687" s="5" t="str">
        <f>IMAGE("https://drive.google.com/uc?export=view&amp;id=1hwayAqb2duoqOo3NaZfAYIJ2NguWGfNZ",1)</f>
        <v/>
      </c>
      <c r="F687" s="6" t="s">
        <v>3490</v>
      </c>
      <c r="G687" s="6" t="s">
        <v>3491</v>
      </c>
      <c r="H687" s="1" t="s">
        <v>820</v>
      </c>
      <c r="I687" s="7">
        <v>46017.516931446764</v>
      </c>
      <c r="J687" s="7">
        <v>46012.85665509259</v>
      </c>
      <c r="K687" s="1" t="s">
        <v>821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60.0" customHeight="1">
      <c r="A688" s="1" t="s">
        <v>3492</v>
      </c>
      <c r="B688" s="1" t="s">
        <v>3493</v>
      </c>
      <c r="C688" s="2" t="s">
        <v>3494</v>
      </c>
      <c r="D688" s="5" t="str">
        <f>IMAGE("https://drive.google.com/uc?export=view&amp;id=1XBCrrT-B-VnXZLO1guQfyII1Hz_OB_bx",2)</f>
        <v/>
      </c>
      <c r="E688" s="5" t="str">
        <f>IMAGE("https://drive.google.com/uc?export=view&amp;id=1XBCrrT-B-VnXZLO1guQfyII1Hz_OB_bx",1)</f>
        <v/>
      </c>
      <c r="F688" s="6" t="s">
        <v>3495</v>
      </c>
      <c r="G688" s="6" t="s">
        <v>3496</v>
      </c>
      <c r="H688" s="1" t="s">
        <v>304</v>
      </c>
      <c r="I688" s="7">
        <v>45860.69647084491</v>
      </c>
      <c r="J688" s="7">
        <v>45924.57212069444</v>
      </c>
      <c r="K688" s="1" t="s">
        <v>305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60.0" customHeight="1">
      <c r="A689" s="1" t="s">
        <v>3497</v>
      </c>
      <c r="B689" s="1" t="s">
        <v>3498</v>
      </c>
      <c r="C689" s="2" t="s">
        <v>3499</v>
      </c>
      <c r="D689" s="5" t="str">
        <f>IMAGE("https://drive.google.com/uc?export=view&amp;id=1OOqHy1fvUyvgw_ivgblXywBPQ9e4xr4A",2)</f>
        <v/>
      </c>
      <c r="E689" s="5" t="str">
        <f>IMAGE("https://drive.google.com/uc?export=view&amp;id=1OOqHy1fvUyvgw_ivgblXywBPQ9e4xr4A",1)</f>
        <v/>
      </c>
      <c r="F689" s="6" t="s">
        <v>3500</v>
      </c>
      <c r="G689" s="6" t="s">
        <v>3501</v>
      </c>
      <c r="H689" s="1" t="s">
        <v>92</v>
      </c>
      <c r="I689" s="7">
        <v>46009.41102194444</v>
      </c>
      <c r="J689" s="7">
        <v>46008.72739583333</v>
      </c>
      <c r="K689" s="1" t="s">
        <v>93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60.0" customHeight="1">
      <c r="A690" s="1" t="s">
        <v>3502</v>
      </c>
      <c r="B690" s="1" t="s">
        <v>3503</v>
      </c>
      <c r="C690" s="2" t="s">
        <v>3504</v>
      </c>
      <c r="D690" s="5" t="str">
        <f>IMAGE("https://drive.google.com/uc?export=view&amp;id=1V2LauBNo7Ps1dgecE9rPJD0C9W77DdS-",2)</f>
        <v/>
      </c>
      <c r="E690" s="5" t="str">
        <f>IMAGE("https://drive.google.com/uc?export=view&amp;id=1V2LauBNo7Ps1dgecE9rPJD0C9W77DdS-",1)</f>
        <v/>
      </c>
      <c r="F690" s="6" t="s">
        <v>3505</v>
      </c>
      <c r="G690" s="6" t="s">
        <v>3506</v>
      </c>
      <c r="H690" s="1" t="s">
        <v>173</v>
      </c>
      <c r="I690" s="7">
        <v>45828.55334398148</v>
      </c>
      <c r="J690" s="7">
        <v>46071.396978599536</v>
      </c>
      <c r="K690" s="1" t="s">
        <v>246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60.0" customHeight="1">
      <c r="A691" s="1" t="s">
        <v>3507</v>
      </c>
      <c r="B691" s="1" t="s">
        <v>3508</v>
      </c>
      <c r="C691" s="2" t="s">
        <v>3509</v>
      </c>
      <c r="D691" s="5" t="str">
        <f>IMAGE("https://drive.google.com/uc?export=view&amp;id=1ETH8-rKU_VEEmoXIyX29wJjHeoofxW9T",2)</f>
        <v/>
      </c>
      <c r="E691" s="5" t="str">
        <f>IMAGE("https://drive.google.com/uc?export=view&amp;id=1ETH8-rKU_VEEmoXIyX29wJjHeoofxW9T",1)</f>
        <v/>
      </c>
      <c r="F691" s="6" t="s">
        <v>3510</v>
      </c>
      <c r="G691" s="6" t="s">
        <v>3511</v>
      </c>
      <c r="H691" s="1" t="s">
        <v>173</v>
      </c>
      <c r="I691" s="7">
        <v>45828.55217606481</v>
      </c>
      <c r="J691" s="7">
        <v>46071.396947430556</v>
      </c>
      <c r="K691" s="1" t="s">
        <v>246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60.0" customHeight="1">
      <c r="A692" s="1" t="s">
        <v>3512</v>
      </c>
      <c r="B692" s="1" t="s">
        <v>3513</v>
      </c>
      <c r="C692" s="2" t="s">
        <v>3514</v>
      </c>
      <c r="D692" s="5" t="str">
        <f>IMAGE("https://drive.google.com/uc?export=view&amp;id=135ldHjHzBd0Ib9S0_aoeyzXsw6zOvsD4",2)</f>
        <v/>
      </c>
      <c r="E692" s="5" t="str">
        <f>IMAGE("https://drive.google.com/uc?export=view&amp;id=135ldHjHzBd0Ib9S0_aoeyzXsw6zOvsD4",1)</f>
        <v/>
      </c>
      <c r="F692" s="6" t="s">
        <v>3515</v>
      </c>
      <c r="G692" s="6" t="s">
        <v>3516</v>
      </c>
      <c r="H692" s="1" t="s">
        <v>173</v>
      </c>
      <c r="I692" s="7">
        <v>45828.55174167824</v>
      </c>
      <c r="J692" s="7">
        <v>46071.3968555787</v>
      </c>
      <c r="K692" s="1" t="s">
        <v>246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60.0" customHeight="1">
      <c r="A693" s="1" t="s">
        <v>3517</v>
      </c>
      <c r="B693" s="1" t="s">
        <v>3518</v>
      </c>
      <c r="C693" s="2" t="s">
        <v>3519</v>
      </c>
      <c r="D693" s="5" t="str">
        <f>IMAGE("https://drive.google.com/uc?export=view&amp;id=1OvhvL4tcwTiLmaYd7-T5A9cKDwjO1eC4",2)</f>
        <v/>
      </c>
      <c r="E693" s="5" t="str">
        <f>IMAGE("https://drive.google.com/uc?export=view&amp;id=1OvhvL4tcwTiLmaYd7-T5A9cKDwjO1eC4",1)</f>
        <v/>
      </c>
      <c r="F693" s="6" t="s">
        <v>3520</v>
      </c>
      <c r="G693" s="6" t="s">
        <v>3521</v>
      </c>
      <c r="H693" s="1" t="s">
        <v>173</v>
      </c>
      <c r="I693" s="7">
        <v>45828.55203491898</v>
      </c>
      <c r="J693" s="7">
        <v>46071.396886828705</v>
      </c>
      <c r="K693" s="1" t="s">
        <v>246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60.0" customHeight="1">
      <c r="A694" s="1" t="s">
        <v>3522</v>
      </c>
      <c r="B694" s="1" t="s">
        <v>3523</v>
      </c>
      <c r="C694" s="2" t="s">
        <v>3524</v>
      </c>
      <c r="D694" s="5" t="str">
        <f>IMAGE("https://drive.google.com/uc?export=view&amp;id=1wL8QeQ-aYxNgJAqLEOWwRl5bE9oU-j7M",2)</f>
        <v/>
      </c>
      <c r="E694" s="5" t="str">
        <f>IMAGE("https://drive.google.com/uc?export=view&amp;id=1wL8QeQ-aYxNgJAqLEOWwRl5bE9oU-j7M",1)</f>
        <v/>
      </c>
      <c r="F694" s="6" t="s">
        <v>3525</v>
      </c>
      <c r="G694" s="6" t="s">
        <v>3526</v>
      </c>
      <c r="H694" s="1" t="s">
        <v>173</v>
      </c>
      <c r="I694" s="7">
        <v>45828.55189458333</v>
      </c>
      <c r="J694" s="7">
        <v>46071.39679958334</v>
      </c>
      <c r="K694" s="1" t="s">
        <v>246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60.0" customHeight="1">
      <c r="A695" s="1" t="s">
        <v>3527</v>
      </c>
      <c r="B695" s="1" t="s">
        <v>3528</v>
      </c>
      <c r="C695" s="2" t="s">
        <v>3529</v>
      </c>
      <c r="D695" s="5" t="str">
        <f>IMAGE("https://drive.google.com/uc?export=view&amp;id=1JizFaVbSAD16O5vCu1VbMUxhHae2sa1m",2)</f>
        <v/>
      </c>
      <c r="E695" s="5" t="str">
        <f>IMAGE("https://drive.google.com/uc?export=view&amp;id=1JizFaVbSAD16O5vCu1VbMUxhHae2sa1m",1)</f>
        <v/>
      </c>
      <c r="F695" s="6" t="s">
        <v>3530</v>
      </c>
      <c r="G695" s="6" t="s">
        <v>3531</v>
      </c>
      <c r="H695" s="1" t="s">
        <v>173</v>
      </c>
      <c r="I695" s="7">
        <v>45828.55158126158</v>
      </c>
      <c r="J695" s="7">
        <v>46071.39677320602</v>
      </c>
      <c r="K695" s="1" t="s">
        <v>246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60.0" customHeight="1">
      <c r="A696" s="1" t="s">
        <v>3532</v>
      </c>
      <c r="B696" s="1" t="s">
        <v>3533</v>
      </c>
      <c r="C696" s="2" t="s">
        <v>3534</v>
      </c>
      <c r="D696" s="5" t="str">
        <f>IMAGE("https://drive.google.com/uc?export=view&amp;id=1uch6u-C4Q55WSnsxKUiJcEuxzy_sme7G",2)</f>
        <v/>
      </c>
      <c r="E696" s="5" t="str">
        <f>IMAGE("https://drive.google.com/uc?export=view&amp;id=1uch6u-C4Q55WSnsxKUiJcEuxzy_sme7G",1)</f>
        <v/>
      </c>
      <c r="F696" s="6" t="s">
        <v>3535</v>
      </c>
      <c r="G696" s="6" t="s">
        <v>3536</v>
      </c>
      <c r="H696" s="1" t="s">
        <v>173</v>
      </c>
      <c r="I696" s="7">
        <v>45828.55144311342</v>
      </c>
      <c r="J696" s="7">
        <v>46071.396749004634</v>
      </c>
      <c r="K696" s="1" t="s">
        <v>246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60.0" customHeight="1">
      <c r="A697" s="1" t="s">
        <v>3537</v>
      </c>
      <c r="B697" s="1" t="s">
        <v>3538</v>
      </c>
      <c r="C697" s="2" t="s">
        <v>3539</v>
      </c>
      <c r="D697" s="5" t="str">
        <f>IMAGE("https://drive.google.com/uc?export=view&amp;id=12d7yOrVNmr4Ut7W6IXazECEFaZ2KW9Zb",2)</f>
        <v/>
      </c>
      <c r="E697" s="5" t="str">
        <f>IMAGE("https://drive.google.com/uc?export=view&amp;id=12d7yOrVNmr4Ut7W6IXazECEFaZ2KW9Zb",1)</f>
        <v/>
      </c>
      <c r="F697" s="6" t="s">
        <v>3540</v>
      </c>
      <c r="G697" s="6" t="s">
        <v>3541</v>
      </c>
      <c r="H697" s="1" t="s">
        <v>173</v>
      </c>
      <c r="I697" s="7">
        <v>45828.551282789354</v>
      </c>
      <c r="J697" s="7">
        <v>46071.39669260416</v>
      </c>
      <c r="K697" s="1" t="s">
        <v>246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60.0" customHeight="1">
      <c r="A698" s="1" t="s">
        <v>3542</v>
      </c>
      <c r="B698" s="1" t="s">
        <v>3543</v>
      </c>
      <c r="C698" s="2" t="s">
        <v>3544</v>
      </c>
      <c r="D698" s="5" t="str">
        <f>IMAGE("https://drive.google.com/uc?export=view&amp;id=1zakE_phHi7HL8wqcI9oQ7Ij_ocxB7ZjK",2)</f>
        <v/>
      </c>
      <c r="E698" s="5" t="str">
        <f>IMAGE("https://drive.google.com/uc?export=view&amp;id=1zakE_phHi7HL8wqcI9oQ7Ij_ocxB7ZjK",1)</f>
        <v/>
      </c>
      <c r="F698" s="6" t="s">
        <v>3545</v>
      </c>
      <c r="G698" s="6" t="s">
        <v>3546</v>
      </c>
      <c r="H698" s="1" t="s">
        <v>173</v>
      </c>
      <c r="I698" s="7">
        <v>45828.553484386575</v>
      </c>
      <c r="J698" s="7">
        <v>46071.396557002314</v>
      </c>
      <c r="K698" s="1" t="s">
        <v>246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60.0" customHeight="1">
      <c r="A699" s="1" t="s">
        <v>3547</v>
      </c>
      <c r="B699" s="1" t="s">
        <v>3548</v>
      </c>
      <c r="C699" s="2" t="s">
        <v>3549</v>
      </c>
      <c r="D699" s="5" t="str">
        <f>IMAGE("https://drive.google.com/uc?export=view&amp;id=1DBkOUn8arXhn9VgtpWEjjTJUnCW7ji05",2)</f>
        <v/>
      </c>
      <c r="E699" s="5" t="str">
        <f>IMAGE("https://drive.google.com/uc?export=view&amp;id=1DBkOUn8arXhn9VgtpWEjjTJUnCW7ji05",1)</f>
        <v/>
      </c>
      <c r="F699" s="6" t="s">
        <v>3550</v>
      </c>
      <c r="G699" s="6" t="s">
        <v>3551</v>
      </c>
      <c r="H699" s="1" t="s">
        <v>30</v>
      </c>
      <c r="I699" s="7">
        <v>45897.45570384259</v>
      </c>
      <c r="J699" s="7">
        <v>45913.55230837963</v>
      </c>
      <c r="K699" s="1" t="s">
        <v>31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60.0" customHeight="1">
      <c r="A700" s="1" t="s">
        <v>3552</v>
      </c>
      <c r="B700" s="1" t="s">
        <v>3553</v>
      </c>
      <c r="C700" s="2" t="s">
        <v>3554</v>
      </c>
      <c r="D700" s="5" t="str">
        <f>IMAGE("https://drive.google.com/uc?export=view&amp;id=1AV4WRvjVuwPthZ7P7h4aJfOST4KY7t_e",2)</f>
        <v/>
      </c>
      <c r="E700" s="5" t="str">
        <f>IMAGE("https://drive.google.com/uc?export=view&amp;id=1AV4WRvjVuwPthZ7P7h4aJfOST4KY7t_e",1)</f>
        <v/>
      </c>
      <c r="F700" s="6" t="s">
        <v>3555</v>
      </c>
      <c r="G700" s="6" t="s">
        <v>3556</v>
      </c>
      <c r="H700" s="1" t="s">
        <v>128</v>
      </c>
      <c r="I700" s="7">
        <v>46017.49524184028</v>
      </c>
      <c r="J700" s="7">
        <v>46012.05142361111</v>
      </c>
      <c r="K700" s="1" t="s">
        <v>129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60.0" customHeight="1">
      <c r="A701" s="1" t="s">
        <v>3557</v>
      </c>
      <c r="B701" s="1" t="s">
        <v>3558</v>
      </c>
      <c r="C701" s="2" t="s">
        <v>3559</v>
      </c>
      <c r="D701" s="5" t="str">
        <f>IMAGE("https://drive.google.com/uc?export=view&amp;id=10I0PEndo3WYtAkA3IKTOKAjxF1WzJ5tO",2)</f>
        <v/>
      </c>
      <c r="E701" s="5" t="str">
        <f>IMAGE("https://drive.google.com/uc?export=view&amp;id=10I0PEndo3WYtAkA3IKTOKAjxF1WzJ5tO",1)</f>
        <v/>
      </c>
      <c r="F701" s="6" t="s">
        <v>3560</v>
      </c>
      <c r="G701" s="6" t="s">
        <v>3561</v>
      </c>
      <c r="H701" s="1" t="s">
        <v>16</v>
      </c>
      <c r="I701" s="7">
        <v>45875.06985209491</v>
      </c>
      <c r="J701" s="7">
        <v>45890.46429956019</v>
      </c>
      <c r="K701" s="1" t="s">
        <v>17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60.0" customHeight="1">
      <c r="A702" s="1" t="s">
        <v>3562</v>
      </c>
      <c r="B702" s="1" t="s">
        <v>3563</v>
      </c>
      <c r="C702" s="2" t="s">
        <v>3564</v>
      </c>
      <c r="D702" s="5" t="str">
        <f>IMAGE("https://drive.google.com/uc?export=view&amp;id=1PbK-s-bC5ZsnWvG9fnK4snI8WPG7xNQv",2)</f>
        <v/>
      </c>
      <c r="E702" s="5" t="str">
        <f>IMAGE("https://drive.google.com/uc?export=view&amp;id=1PbK-s-bC5ZsnWvG9fnK4snI8WPG7xNQv",1)</f>
        <v/>
      </c>
      <c r="F702" s="6" t="s">
        <v>3565</v>
      </c>
      <c r="G702" s="6" t="s">
        <v>3566</v>
      </c>
      <c r="H702" s="1" t="s">
        <v>23</v>
      </c>
      <c r="I702" s="7">
        <v>45898.58470998843</v>
      </c>
      <c r="J702" s="7">
        <v>45898.57777777778</v>
      </c>
      <c r="K702" s="1" t="s">
        <v>24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60.0" customHeight="1">
      <c r="A703" s="1" t="s">
        <v>3567</v>
      </c>
      <c r="B703" s="1" t="s">
        <v>3568</v>
      </c>
      <c r="C703" s="2" t="s">
        <v>3569</v>
      </c>
      <c r="D703" s="5" t="str">
        <f>IMAGE("https://drive.google.com/uc?export=view&amp;id=1aAW9HM4Jml0-QnjSR0Z6DCYSxp-KCN6U",2)</f>
        <v/>
      </c>
      <c r="E703" s="5" t="str">
        <f>IMAGE("https://drive.google.com/uc?export=view&amp;id=1aAW9HM4Jml0-QnjSR0Z6DCYSxp-KCN6U",1)</f>
        <v/>
      </c>
      <c r="F703" s="6" t="s">
        <v>3570</v>
      </c>
      <c r="G703" s="6" t="s">
        <v>3571</v>
      </c>
      <c r="H703" s="1" t="s">
        <v>16</v>
      </c>
      <c r="I703" s="7">
        <v>45878.44821466436</v>
      </c>
      <c r="J703" s="7">
        <v>46055.75884247685</v>
      </c>
      <c r="K703" s="1" t="s">
        <v>17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60.0" customHeight="1">
      <c r="A704" s="1" t="s">
        <v>3572</v>
      </c>
      <c r="B704" s="1" t="s">
        <v>3573</v>
      </c>
      <c r="C704" s="2" t="s">
        <v>3574</v>
      </c>
      <c r="D704" s="5" t="str">
        <f>IMAGE("https://drive.google.com/uc?export=view&amp;id=1qom8Gdft_6xHxYSWlFH6WsRwlaUen1jt",2)</f>
        <v/>
      </c>
      <c r="E704" s="5" t="str">
        <f>IMAGE("https://drive.google.com/uc?export=view&amp;id=1qom8Gdft_6xHxYSWlFH6WsRwlaUen1jt",1)</f>
        <v/>
      </c>
      <c r="F704" s="6" t="s">
        <v>3575</v>
      </c>
      <c r="G704" s="6" t="s">
        <v>3576</v>
      </c>
      <c r="H704" s="1" t="s">
        <v>16</v>
      </c>
      <c r="I704" s="7">
        <v>45890.458336875</v>
      </c>
      <c r="J704" s="7">
        <v>45888.683969907404</v>
      </c>
      <c r="K704" s="1" t="s">
        <v>17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60.0" customHeight="1">
      <c r="A705" s="1" t="s">
        <v>3577</v>
      </c>
      <c r="B705" s="1" t="s">
        <v>3578</v>
      </c>
      <c r="C705" s="2" t="s">
        <v>3579</v>
      </c>
      <c r="D705" s="5" t="str">
        <f>IMAGE("https://drive.google.com/uc?export=view&amp;id=19U5vjAdKaulZjfn_PyU1GUgyMbzfYcSx",2)</f>
        <v/>
      </c>
      <c r="E705" s="5" t="str">
        <f>IMAGE("https://drive.google.com/uc?export=view&amp;id=19U5vjAdKaulZjfn_PyU1GUgyMbzfYcSx",1)</f>
        <v/>
      </c>
      <c r="F705" s="6" t="s">
        <v>3580</v>
      </c>
      <c r="G705" s="6" t="s">
        <v>3581</v>
      </c>
      <c r="H705" s="1" t="s">
        <v>23</v>
      </c>
      <c r="I705" s="7">
        <v>45898.58477744213</v>
      </c>
      <c r="J705" s="7">
        <v>45898.57778935185</v>
      </c>
      <c r="K705" s="1" t="s">
        <v>24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60.0" customHeight="1">
      <c r="A706" s="1" t="s">
        <v>3582</v>
      </c>
      <c r="B706" s="1" t="s">
        <v>3583</v>
      </c>
      <c r="C706" s="2" t="s">
        <v>3584</v>
      </c>
      <c r="D706" s="5" t="str">
        <f>IMAGE("https://drive.google.com/uc?export=view&amp;id=1ZQAObjZx08mf3KrwZ67QEcUwOxMNjqo8",2)</f>
        <v/>
      </c>
      <c r="E706" s="5" t="str">
        <f>IMAGE("https://drive.google.com/uc?export=view&amp;id=1ZQAObjZx08mf3KrwZ67QEcUwOxMNjqo8",1)</f>
        <v/>
      </c>
      <c r="F706" s="6" t="s">
        <v>3585</v>
      </c>
      <c r="G706" s="6" t="s">
        <v>3586</v>
      </c>
      <c r="H706" s="1" t="s">
        <v>30</v>
      </c>
      <c r="I706" s="7">
        <v>45897.45583390046</v>
      </c>
      <c r="J706" s="7">
        <v>45913.55247407407</v>
      </c>
      <c r="K706" s="1" t="s">
        <v>31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60.0" customHeight="1">
      <c r="A707" s="1" t="s">
        <v>3587</v>
      </c>
      <c r="B707" s="1" t="s">
        <v>3588</v>
      </c>
      <c r="C707" s="2" t="s">
        <v>3589</v>
      </c>
      <c r="D707" s="5" t="str">
        <f>IMAGE("https://drive.google.com/uc?export=view&amp;id=1hBxTFzcb3u5j8XhkF7oug3lnW-Mt7Wb_",2)</f>
        <v/>
      </c>
      <c r="E707" s="5" t="str">
        <f>IMAGE("https://drive.google.com/uc?export=view&amp;id=1hBxTFzcb3u5j8XhkF7oug3lnW-Mt7Wb_",1)</f>
        <v/>
      </c>
      <c r="F707" s="6" t="s">
        <v>3590</v>
      </c>
      <c r="G707" s="6" t="s">
        <v>3591</v>
      </c>
      <c r="H707" s="1" t="s">
        <v>23</v>
      </c>
      <c r="I707" s="7">
        <v>45898.58480921296</v>
      </c>
      <c r="J707" s="7">
        <v>46055.75869097222</v>
      </c>
      <c r="K707" s="1" t="s">
        <v>24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60.0" customHeight="1">
      <c r="A708" s="1" t="s">
        <v>3592</v>
      </c>
      <c r="B708" s="1" t="s">
        <v>3593</v>
      </c>
      <c r="C708" s="2" t="s">
        <v>3594</v>
      </c>
      <c r="D708" s="5" t="str">
        <f>IMAGE("https://drive.google.com/uc?export=view&amp;id=17Yq-tJtfXBxhpjRNgP_aL-aOc0AeVcov",2)</f>
        <v/>
      </c>
      <c r="E708" s="5" t="str">
        <f>IMAGE("https://drive.google.com/uc?export=view&amp;id=17Yq-tJtfXBxhpjRNgP_aL-aOc0AeVcov",1)</f>
        <v/>
      </c>
      <c r="F708" s="6" t="s">
        <v>3595</v>
      </c>
      <c r="G708" s="6" t="s">
        <v>3596</v>
      </c>
      <c r="H708" s="1" t="s">
        <v>30</v>
      </c>
      <c r="I708" s="7">
        <v>45897.45602648148</v>
      </c>
      <c r="J708" s="7">
        <v>45913.55263525463</v>
      </c>
      <c r="K708" s="1" t="s">
        <v>31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60.0" customHeight="1">
      <c r="A709" s="1" t="s">
        <v>3597</v>
      </c>
      <c r="B709" s="1" t="s">
        <v>3598</v>
      </c>
      <c r="C709" s="2" t="s">
        <v>3599</v>
      </c>
      <c r="D709" s="5" t="str">
        <f>IMAGE("https://drive.google.com/uc?export=view&amp;id=1XGe5FiBGuGpKEBzIBCvEAxUXrft_dHSY",2)</f>
        <v/>
      </c>
      <c r="E709" s="5" t="str">
        <f>IMAGE("https://drive.google.com/uc?export=view&amp;id=1XGe5FiBGuGpKEBzIBCvEAxUXrft_dHSY",1)</f>
        <v/>
      </c>
      <c r="F709" s="6" t="s">
        <v>3600</v>
      </c>
      <c r="G709" s="6" t="s">
        <v>3601</v>
      </c>
      <c r="H709" s="1" t="s">
        <v>30</v>
      </c>
      <c r="I709" s="7">
        <v>45897.456175011575</v>
      </c>
      <c r="J709" s="7">
        <v>45913.55279862268</v>
      </c>
      <c r="K709" s="1" t="s">
        <v>31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60.0" customHeight="1">
      <c r="A710" s="1" t="s">
        <v>3602</v>
      </c>
      <c r="B710" s="1" t="s">
        <v>3603</v>
      </c>
      <c r="C710" s="2" t="s">
        <v>3604</v>
      </c>
      <c r="D710" s="5" t="str">
        <f>IMAGE("https://drive.google.com/uc?export=view&amp;id=1T7wFp9Xwr7M6rhN_LXekN9dzmB4zctY2",2)</f>
        <v/>
      </c>
      <c r="E710" s="5" t="str">
        <f>IMAGE("https://drive.google.com/uc?export=view&amp;id=1T7wFp9Xwr7M6rhN_LXekN9dzmB4zctY2",1)</f>
        <v/>
      </c>
      <c r="F710" s="6" t="s">
        <v>3605</v>
      </c>
      <c r="G710" s="6" t="s">
        <v>3606</v>
      </c>
      <c r="H710" s="1" t="s">
        <v>177</v>
      </c>
      <c r="I710" s="7">
        <v>45948.76521621528</v>
      </c>
      <c r="J710" s="7">
        <v>45948.76530516204</v>
      </c>
      <c r="K710" s="1" t="s">
        <v>178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60.0" customHeight="1">
      <c r="A711" s="1" t="s">
        <v>3607</v>
      </c>
      <c r="B711" s="1" t="s">
        <v>3608</v>
      </c>
      <c r="C711" s="2" t="s">
        <v>3609</v>
      </c>
      <c r="D711" s="5" t="str">
        <f>IMAGE("https://drive.google.com/uc?export=view&amp;id=1Y14j-oO2UnaZ6SePw2IKe6QCTp9UtHXl",2)</f>
        <v/>
      </c>
      <c r="E711" s="5" t="str">
        <f>IMAGE("https://drive.google.com/uc?export=view&amp;id=1Y14j-oO2UnaZ6SePw2IKe6QCTp9UtHXl",1)</f>
        <v/>
      </c>
      <c r="F711" s="6" t="s">
        <v>3610</v>
      </c>
      <c r="G711" s="6" t="s">
        <v>3611</v>
      </c>
      <c r="H711" s="1" t="s">
        <v>16</v>
      </c>
      <c r="I711" s="7">
        <v>45873.51156479167</v>
      </c>
      <c r="J711" s="7">
        <v>45890.464423530095</v>
      </c>
      <c r="K711" s="1" t="s">
        <v>17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60.0" customHeight="1">
      <c r="A712" s="1" t="s">
        <v>3612</v>
      </c>
      <c r="B712" s="1" t="s">
        <v>3613</v>
      </c>
      <c r="C712" s="2" t="s">
        <v>3614</v>
      </c>
      <c r="D712" s="5" t="str">
        <f>IMAGE("https://drive.google.com/uc?export=view&amp;id=16Np5zjexCIO55PkW8wOnU74Lw0_IW6rI",2)</f>
        <v/>
      </c>
      <c r="E712" s="5" t="str">
        <f>IMAGE("https://drive.google.com/uc?export=view&amp;id=16Np5zjexCIO55PkW8wOnU74Lw0_IW6rI",1)</f>
        <v/>
      </c>
      <c r="F712" s="6" t="s">
        <v>3615</v>
      </c>
      <c r="G712" s="6" t="s">
        <v>3616</v>
      </c>
      <c r="H712" s="1" t="s">
        <v>23</v>
      </c>
      <c r="I712" s="7">
        <v>45898.58470998843</v>
      </c>
      <c r="J712" s="7">
        <v>45898.57778935185</v>
      </c>
      <c r="K712" s="1" t="s">
        <v>24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60.0" customHeight="1">
      <c r="A713" s="1" t="s">
        <v>3617</v>
      </c>
      <c r="B713" s="1" t="s">
        <v>3618</v>
      </c>
      <c r="C713" s="2" t="s">
        <v>3619</v>
      </c>
      <c r="D713" s="5" t="str">
        <f>IMAGE("https://drive.google.com/uc?export=view&amp;id=1LUwMbKaBL0df1lsy-QtlcNNHadH4pPnw",2)</f>
        <v/>
      </c>
      <c r="E713" s="5" t="str">
        <f>IMAGE("https://drive.google.com/uc?export=view&amp;id=1LUwMbKaBL0df1lsy-QtlcNNHadH4pPnw",1)</f>
        <v/>
      </c>
      <c r="F713" s="6" t="s">
        <v>3620</v>
      </c>
      <c r="G713" s="6" t="s">
        <v>3621</v>
      </c>
      <c r="H713" s="1" t="s">
        <v>16</v>
      </c>
      <c r="I713" s="7">
        <v>45890.4560797338</v>
      </c>
      <c r="J713" s="7">
        <v>45887.7758449074</v>
      </c>
      <c r="K713" s="1" t="s">
        <v>17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60.0" customHeight="1">
      <c r="A714" s="1" t="s">
        <v>3622</v>
      </c>
      <c r="B714" s="1" t="s">
        <v>3623</v>
      </c>
      <c r="C714" s="2" t="s">
        <v>3624</v>
      </c>
      <c r="D714" s="5" t="str">
        <f>IMAGE("https://drive.google.com/uc?export=view&amp;id=1INfNpj_BCTuntGmQaOSe8vc8mXkbUMIm",2)</f>
        <v/>
      </c>
      <c r="E714" s="5" t="str">
        <f>IMAGE("https://drive.google.com/uc?export=view&amp;id=1INfNpj_BCTuntGmQaOSe8vc8mXkbUMIm",1)</f>
        <v/>
      </c>
      <c r="F714" s="6" t="s">
        <v>3625</v>
      </c>
      <c r="G714" s="6" t="s">
        <v>3626</v>
      </c>
      <c r="H714" s="1" t="s">
        <v>23</v>
      </c>
      <c r="I714" s="7">
        <v>45898.58470998843</v>
      </c>
      <c r="J714" s="7">
        <v>45898.57778935185</v>
      </c>
      <c r="K714" s="1" t="s">
        <v>24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60.0" customHeight="1">
      <c r="A715" s="1" t="s">
        <v>3627</v>
      </c>
      <c r="B715" s="1" t="s">
        <v>3628</v>
      </c>
      <c r="C715" s="2" t="s">
        <v>3629</v>
      </c>
      <c r="D715" s="5" t="str">
        <f>IMAGE("https://drive.google.com/uc?export=view&amp;id=1CyQvOEyRWhM9MCiuTSxdh7gHqu0ksY3S",2)</f>
        <v/>
      </c>
      <c r="E715" s="5" t="str">
        <f>IMAGE("https://drive.google.com/uc?export=view&amp;id=1CyQvOEyRWhM9MCiuTSxdh7gHqu0ksY3S",1)</f>
        <v/>
      </c>
      <c r="F715" s="6" t="s">
        <v>3630</v>
      </c>
      <c r="G715" s="6" t="s">
        <v>3631</v>
      </c>
      <c r="H715" s="1" t="s">
        <v>16</v>
      </c>
      <c r="I715" s="7">
        <v>45890.458486504634</v>
      </c>
      <c r="J715" s="7">
        <v>45889.4534837963</v>
      </c>
      <c r="K715" s="1" t="s">
        <v>17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60.0" customHeight="1">
      <c r="A716" s="1" t="s">
        <v>3632</v>
      </c>
      <c r="B716" s="1" t="s">
        <v>3633</v>
      </c>
      <c r="C716" s="2" t="s">
        <v>3634</v>
      </c>
      <c r="D716" s="5" t="str">
        <f>IMAGE("https://drive.google.com/uc?export=view&amp;id=15EFTE5JVpR7svXJoiO02Zd6FWRMFYe-_",2)</f>
        <v/>
      </c>
      <c r="E716" s="5" t="str">
        <f>IMAGE("https://drive.google.com/uc?export=view&amp;id=15EFTE5JVpR7svXJoiO02Zd6FWRMFYe-_",1)</f>
        <v/>
      </c>
      <c r="F716" s="6" t="s">
        <v>3635</v>
      </c>
      <c r="G716" s="6" t="s">
        <v>3636</v>
      </c>
      <c r="H716" s="1" t="s">
        <v>23</v>
      </c>
      <c r="I716" s="7">
        <v>45898.58482804398</v>
      </c>
      <c r="J716" s="7">
        <v>45898.57778935185</v>
      </c>
      <c r="K716" s="1" t="s">
        <v>24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60.0" customHeight="1">
      <c r="A717" s="1" t="s">
        <v>3637</v>
      </c>
      <c r="B717" s="1" t="s">
        <v>3638</v>
      </c>
      <c r="C717" s="2" t="s">
        <v>3639</v>
      </c>
      <c r="D717" s="5" t="str">
        <f>IMAGE("https://drive.google.com/uc?export=view&amp;id=1JTIq_82yL8nkxiaID8HEMLayEruAeoQd",2)</f>
        <v/>
      </c>
      <c r="E717" s="5" t="str">
        <f>IMAGE("https://drive.google.com/uc?export=view&amp;id=1JTIq_82yL8nkxiaID8HEMLayEruAeoQd",1)</f>
        <v/>
      </c>
      <c r="F717" s="6" t="s">
        <v>3640</v>
      </c>
      <c r="G717" s="6" t="s">
        <v>3641</v>
      </c>
      <c r="H717" s="1" t="s">
        <v>16</v>
      </c>
      <c r="I717" s="7">
        <v>45887.49987388889</v>
      </c>
      <c r="J717" s="7">
        <v>45890.46454347222</v>
      </c>
      <c r="K717" s="1" t="s">
        <v>17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60.0" customHeight="1">
      <c r="A718" s="1" t="s">
        <v>3642</v>
      </c>
      <c r="B718" s="1" t="s">
        <v>3643</v>
      </c>
      <c r="C718" s="2" t="s">
        <v>3644</v>
      </c>
      <c r="D718" s="5" t="str">
        <f>IMAGE("https://drive.google.com/uc?export=view&amp;id=1zJX7BVp51vrL_MbbvzHTvu5gorAUM57r",2)</f>
        <v/>
      </c>
      <c r="E718" s="5" t="str">
        <f>IMAGE("https://drive.google.com/uc?export=view&amp;id=1zJX7BVp51vrL_MbbvzHTvu5gorAUM57r",1)</f>
        <v/>
      </c>
      <c r="F718" s="6" t="s">
        <v>3645</v>
      </c>
      <c r="G718" s="6" t="s">
        <v>3646</v>
      </c>
      <c r="H718" s="1" t="s">
        <v>23</v>
      </c>
      <c r="I718" s="7">
        <v>45898.58465333333</v>
      </c>
      <c r="J718" s="7">
        <v>45898.57780092592</v>
      </c>
      <c r="K718" s="1" t="s">
        <v>24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60.0" customHeight="1">
      <c r="A719" s="1" t="s">
        <v>3647</v>
      </c>
      <c r="B719" s="1" t="s">
        <v>3648</v>
      </c>
      <c r="C719" s="2" t="s">
        <v>3649</v>
      </c>
      <c r="D719" s="5" t="str">
        <f>IMAGE("https://drive.google.com/uc?export=view&amp;id=1kxkWO51JQslSddbpDG9lIUY1ENn5Eec8",2)</f>
        <v/>
      </c>
      <c r="E719" s="5" t="str">
        <f>IMAGE("https://drive.google.com/uc?export=view&amp;id=1kxkWO51JQslSddbpDG9lIUY1ENn5Eec8",1)</f>
        <v/>
      </c>
      <c r="F719" s="6" t="s">
        <v>3650</v>
      </c>
      <c r="G719" s="6" t="s">
        <v>3651</v>
      </c>
      <c r="H719" s="1" t="s">
        <v>16</v>
      </c>
      <c r="I719" s="7">
        <v>45872.783239027776</v>
      </c>
      <c r="J719" s="7">
        <v>45890.46470296296</v>
      </c>
      <c r="K719" s="1" t="s">
        <v>17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60.0" customHeight="1">
      <c r="A720" s="1" t="s">
        <v>3652</v>
      </c>
      <c r="B720" s="1" t="s">
        <v>3653</v>
      </c>
      <c r="C720" s="2" t="s">
        <v>3654</v>
      </c>
      <c r="D720" s="5" t="str">
        <f>IMAGE("https://drive.google.com/uc?export=view&amp;id=1bqDLswUZ9_sRU_9LuSLJ9VKw2oCtddce",2)</f>
        <v/>
      </c>
      <c r="E720" s="5" t="str">
        <f>IMAGE("https://drive.google.com/uc?export=view&amp;id=1bqDLswUZ9_sRU_9LuSLJ9VKw2oCtddce",1)</f>
        <v/>
      </c>
      <c r="F720" s="6" t="s">
        <v>3655</v>
      </c>
      <c r="G720" s="6" t="s">
        <v>3656</v>
      </c>
      <c r="H720" s="1" t="s">
        <v>23</v>
      </c>
      <c r="I720" s="7">
        <v>45898.584671006945</v>
      </c>
      <c r="J720" s="7">
        <v>45898.57780092592</v>
      </c>
      <c r="K720" s="1" t="s">
        <v>24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60.0" customHeight="1">
      <c r="A721" s="1" t="s">
        <v>3657</v>
      </c>
      <c r="B721" s="1" t="s">
        <v>3658</v>
      </c>
      <c r="C721" s="2" t="s">
        <v>3659</v>
      </c>
      <c r="D721" s="5" t="str">
        <f>IMAGE("https://drive.google.com/uc?export=view&amp;id=1XbKCneX8Xce6kpub-tsGlKUw4B8wQXKH",2)</f>
        <v/>
      </c>
      <c r="E721" s="5" t="str">
        <f>IMAGE("https://drive.google.com/uc?export=view&amp;id=1XbKCneX8Xce6kpub-tsGlKUw4B8wQXKH",1)</f>
        <v/>
      </c>
      <c r="F721" s="6" t="s">
        <v>3660</v>
      </c>
      <c r="G721" s="6" t="s">
        <v>3661</v>
      </c>
      <c r="H721" s="1" t="s">
        <v>16</v>
      </c>
      <c r="I721" s="7">
        <v>45890.45619516204</v>
      </c>
      <c r="J721" s="7">
        <v>45887.498923611114</v>
      </c>
      <c r="K721" s="1" t="s">
        <v>17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60.0" customHeight="1">
      <c r="A722" s="1" t="s">
        <v>3662</v>
      </c>
      <c r="B722" s="1" t="s">
        <v>3663</v>
      </c>
      <c r="C722" s="2" t="s">
        <v>3664</v>
      </c>
      <c r="D722" s="5" t="str">
        <f>IMAGE("https://drive.google.com/uc?export=view&amp;id=1gTBKGTrjpeO7JUW8dXRLrZECWaNdG5B7",2)</f>
        <v/>
      </c>
      <c r="E722" s="5" t="str">
        <f>IMAGE("https://drive.google.com/uc?export=view&amp;id=1gTBKGTrjpeO7JUW8dXRLrZECWaNdG5B7",1)</f>
        <v/>
      </c>
      <c r="F722" s="6" t="s">
        <v>3665</v>
      </c>
      <c r="G722" s="6" t="s">
        <v>3666</v>
      </c>
      <c r="H722" s="1" t="s">
        <v>23</v>
      </c>
      <c r="I722" s="7">
        <v>45898.58469679398</v>
      </c>
      <c r="J722" s="7">
        <v>45898.57780092592</v>
      </c>
      <c r="K722" s="1" t="s">
        <v>24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60.0" customHeight="1">
      <c r="A723" s="1" t="s">
        <v>3667</v>
      </c>
      <c r="B723" s="1" t="s">
        <v>3668</v>
      </c>
      <c r="C723" s="2" t="s">
        <v>3669</v>
      </c>
      <c r="D723" s="5" t="str">
        <f>IMAGE("https://drive.google.com/uc?export=view&amp;id=1u542wKZ1CLB9RTCTyAgNG0tlY9Vgr2gp",2)</f>
        <v/>
      </c>
      <c r="E723" s="5" t="str">
        <f>IMAGE("https://drive.google.com/uc?export=view&amp;id=1u542wKZ1CLB9RTCTyAgNG0tlY9Vgr2gp",1)</f>
        <v/>
      </c>
      <c r="F723" s="6" t="s">
        <v>3670</v>
      </c>
      <c r="G723" s="6" t="s">
        <v>3671</v>
      </c>
      <c r="H723" s="1" t="s">
        <v>16</v>
      </c>
      <c r="I723" s="7">
        <v>45872.78333207176</v>
      </c>
      <c r="J723" s="7">
        <v>45890.464813032406</v>
      </c>
      <c r="K723" s="1" t="s">
        <v>17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60.0" customHeight="1">
      <c r="A724" s="1" t="s">
        <v>3672</v>
      </c>
      <c r="B724" s="1" t="s">
        <v>3673</v>
      </c>
      <c r="C724" s="2" t="s">
        <v>3674</v>
      </c>
      <c r="D724" s="5" t="str">
        <f>IMAGE("https://drive.google.com/uc?export=view&amp;id=1blNkM_HMwGQUzwxwHitEAjkEUHOXCa8L",2)</f>
        <v/>
      </c>
      <c r="E724" s="5" t="str">
        <f>IMAGE("https://drive.google.com/uc?export=view&amp;id=1blNkM_HMwGQUzwxwHitEAjkEUHOXCa8L",1)</f>
        <v/>
      </c>
      <c r="F724" s="6" t="s">
        <v>3675</v>
      </c>
      <c r="G724" s="6" t="s">
        <v>3676</v>
      </c>
      <c r="H724" s="1" t="s">
        <v>23</v>
      </c>
      <c r="I724" s="7">
        <v>45898.584714004624</v>
      </c>
      <c r="J724" s="7">
        <v>45898.5778125</v>
      </c>
      <c r="K724" s="1" t="s">
        <v>24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60.0" customHeight="1">
      <c r="A725" s="1" t="s">
        <v>3677</v>
      </c>
      <c r="B725" s="1" t="s">
        <v>3678</v>
      </c>
      <c r="C725" s="2" t="s">
        <v>3679</v>
      </c>
      <c r="D725" s="5" t="str">
        <f>IMAGE("https://drive.google.com/uc?export=view&amp;id=1Ak3g6CaWnGqvwO8DQ6Ra150hDTutIKse",2)</f>
        <v/>
      </c>
      <c r="E725" s="5" t="str">
        <f>IMAGE("https://drive.google.com/uc?export=view&amp;id=1Ak3g6CaWnGqvwO8DQ6Ra150hDTutIKse",1)</f>
        <v/>
      </c>
      <c r="F725" s="6" t="s">
        <v>3680</v>
      </c>
      <c r="G725" s="6" t="s">
        <v>3681</v>
      </c>
      <c r="H725" s="1" t="s">
        <v>16</v>
      </c>
      <c r="I725" s="7">
        <v>45878.44789222222</v>
      </c>
      <c r="J725" s="7">
        <v>45890.464951331014</v>
      </c>
      <c r="K725" s="1" t="s">
        <v>17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60.0" customHeight="1">
      <c r="A726" s="1" t="s">
        <v>3682</v>
      </c>
      <c r="B726" s="1" t="s">
        <v>3683</v>
      </c>
      <c r="C726" s="2" t="s">
        <v>3684</v>
      </c>
      <c r="D726" s="5" t="str">
        <f>IMAGE("https://drive.google.com/uc?export=view&amp;id=1yok6oj1fOfTa5LI0tBSBau7yHUrMsfC6",2)</f>
        <v/>
      </c>
      <c r="E726" s="5" t="str">
        <f>IMAGE("https://drive.google.com/uc?export=view&amp;id=1yok6oj1fOfTa5LI0tBSBau7yHUrMsfC6",1)</f>
        <v/>
      </c>
      <c r="F726" s="6" t="s">
        <v>3685</v>
      </c>
      <c r="G726" s="6" t="s">
        <v>3686</v>
      </c>
      <c r="H726" s="1" t="s">
        <v>23</v>
      </c>
      <c r="I726" s="7">
        <v>45898.584749456015</v>
      </c>
      <c r="J726" s="7">
        <v>45898.5778125</v>
      </c>
      <c r="K726" s="1" t="s">
        <v>24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60.0" customHeight="1">
      <c r="A727" s="1" t="s">
        <v>3687</v>
      </c>
      <c r="B727" s="1" t="s">
        <v>3688</v>
      </c>
      <c r="C727" s="2" t="s">
        <v>3689</v>
      </c>
      <c r="D727" s="5" t="str">
        <f>IMAGE("https://drive.google.com/uc?export=view&amp;id=1gF8bLrJ3lB96TbHS6hn3rRs00y2zkZB0",2)</f>
        <v/>
      </c>
      <c r="E727" s="5" t="str">
        <f>IMAGE("https://drive.google.com/uc?export=view&amp;id=1gF8bLrJ3lB96TbHS6hn3rRs00y2zkZB0",1)</f>
        <v/>
      </c>
      <c r="F727" s="6" t="s">
        <v>3690</v>
      </c>
      <c r="G727" s="6" t="s">
        <v>3691</v>
      </c>
      <c r="H727" s="1" t="s">
        <v>30</v>
      </c>
      <c r="I727" s="7">
        <v>45913.55579795139</v>
      </c>
      <c r="J727" s="7">
        <v>45903.45451388889</v>
      </c>
      <c r="K727" s="1" t="s">
        <v>31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60.0" customHeight="1">
      <c r="A728" s="1" t="s">
        <v>3692</v>
      </c>
      <c r="B728" s="1" t="s">
        <v>3693</v>
      </c>
      <c r="C728" s="2" t="s">
        <v>3694</v>
      </c>
      <c r="D728" s="5" t="str">
        <f>IMAGE("https://drive.google.com/uc?export=view&amp;id=1j-CHzmMOdYcNO1462hvp2xgNi9R3Zxsn",2)</f>
        <v/>
      </c>
      <c r="E728" s="5" t="str">
        <f>IMAGE("https://drive.google.com/uc?export=view&amp;id=1j-CHzmMOdYcNO1462hvp2xgNi9R3Zxsn",1)</f>
        <v/>
      </c>
      <c r="F728" s="6" t="s">
        <v>3695</v>
      </c>
      <c r="G728" s="6" t="s">
        <v>3696</v>
      </c>
      <c r="H728" s="1" t="s">
        <v>114</v>
      </c>
      <c r="I728" s="7">
        <v>45828.552308611106</v>
      </c>
      <c r="J728" s="7">
        <v>45860.70744142361</v>
      </c>
      <c r="K728" s="1" t="s">
        <v>115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60.0" customHeight="1">
      <c r="A729" s="1" t="s">
        <v>3697</v>
      </c>
      <c r="B729" s="1" t="s">
        <v>3698</v>
      </c>
      <c r="C729" s="2" t="s">
        <v>3699</v>
      </c>
      <c r="D729" s="5" t="str">
        <f>IMAGE("https://drive.google.com/uc?export=view&amp;id=1A2MezkMGdLMjbvPZRpDE9YgLVFrzo61J",2)</f>
        <v/>
      </c>
      <c r="E729" s="5" t="str">
        <f>IMAGE("https://drive.google.com/uc?export=view&amp;id=1A2MezkMGdLMjbvPZRpDE9YgLVFrzo61J",1)</f>
        <v/>
      </c>
      <c r="F729" s="6" t="s">
        <v>3700</v>
      </c>
      <c r="G729" s="6" t="s">
        <v>3701</v>
      </c>
      <c r="H729" s="1" t="s">
        <v>2059</v>
      </c>
      <c r="I729" s="7">
        <v>46017.52680010417</v>
      </c>
      <c r="J729" s="7">
        <v>46013.38542824074</v>
      </c>
      <c r="K729" s="1" t="s">
        <v>2060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60.0" customHeight="1">
      <c r="A730" s="1" t="s">
        <v>3702</v>
      </c>
      <c r="B730" s="1" t="s">
        <v>3703</v>
      </c>
      <c r="C730" s="2" t="s">
        <v>3704</v>
      </c>
      <c r="D730" s="5" t="str">
        <f>IMAGE("https://drive.google.com/uc?export=view&amp;id=1eIYwNnoAboxe8Lgk09LOnv9RADhIbx2k",2)</f>
        <v/>
      </c>
      <c r="E730" s="5" t="str">
        <f>IMAGE("https://drive.google.com/uc?export=view&amp;id=1eIYwNnoAboxe8Lgk09LOnv9RADhIbx2k",1)</f>
        <v/>
      </c>
      <c r="F730" s="6" t="s">
        <v>3705</v>
      </c>
      <c r="G730" s="6" t="s">
        <v>3706</v>
      </c>
      <c r="H730" s="1" t="s">
        <v>405</v>
      </c>
      <c r="I730" s="7">
        <v>46067.80906109954</v>
      </c>
      <c r="J730" s="7">
        <v>46080.66813875</v>
      </c>
      <c r="K730" s="1" t="s">
        <v>406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60.0" customHeight="1">
      <c r="A731" s="1" t="s">
        <v>3707</v>
      </c>
      <c r="B731" s="1" t="s">
        <v>3708</v>
      </c>
      <c r="C731" s="2" t="s">
        <v>3709</v>
      </c>
      <c r="D731" s="5" t="str">
        <f>IMAGE("https://drive.google.com/uc?export=view&amp;id=128D9drzyTEF8mEaoylRCZgN29EfS4Vs-",2)</f>
        <v/>
      </c>
      <c r="E731" s="5" t="str">
        <f>IMAGE("https://drive.google.com/uc?export=view&amp;id=128D9drzyTEF8mEaoylRCZgN29EfS4Vs-",1)</f>
        <v/>
      </c>
      <c r="F731" s="6" t="s">
        <v>3710</v>
      </c>
      <c r="G731" s="6" t="s">
        <v>3711</v>
      </c>
      <c r="H731" s="1" t="s">
        <v>16</v>
      </c>
      <c r="I731" s="7">
        <v>45890.456359421296</v>
      </c>
      <c r="J731" s="7">
        <v>45889.02612268519</v>
      </c>
      <c r="K731" s="1" t="s">
        <v>17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60.0" customHeight="1">
      <c r="A732" s="1" t="s">
        <v>3712</v>
      </c>
      <c r="B732" s="1" t="s">
        <v>3713</v>
      </c>
      <c r="C732" s="2" t="s">
        <v>3714</v>
      </c>
      <c r="D732" s="5" t="str">
        <f>IMAGE("https://drive.google.com/uc?export=view&amp;id=13km__bdqf5N9XNpyB9N-2Jl4156go5W9",2)</f>
        <v/>
      </c>
      <c r="E732" s="5" t="str">
        <f>IMAGE("https://drive.google.com/uc?export=view&amp;id=13km__bdqf5N9XNpyB9N-2Jl4156go5W9",1)</f>
        <v/>
      </c>
      <c r="F732" s="6" t="s">
        <v>3715</v>
      </c>
      <c r="G732" s="6" t="s">
        <v>3716</v>
      </c>
      <c r="H732" s="1" t="s">
        <v>23</v>
      </c>
      <c r="I732" s="7">
        <v>45898.58476770834</v>
      </c>
      <c r="J732" s="7">
        <v>45898.5778125</v>
      </c>
      <c r="K732" s="1" t="s">
        <v>24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60.0" customHeight="1">
      <c r="A733" s="1" t="s">
        <v>3717</v>
      </c>
      <c r="B733" s="1" t="s">
        <v>3718</v>
      </c>
      <c r="C733" s="2" t="s">
        <v>3719</v>
      </c>
      <c r="D733" s="5" t="str">
        <f>IMAGE("https://drive.google.com/uc?export=view&amp;id=1xei0-LDHz8JS7QySLKtEWMcScrCrrVpn",2)</f>
        <v/>
      </c>
      <c r="E733" s="5" t="str">
        <f>IMAGE("https://drive.google.com/uc?export=view&amp;id=1xei0-LDHz8JS7QySLKtEWMcScrCrrVpn",1)</f>
        <v/>
      </c>
      <c r="F733" s="6" t="s">
        <v>3720</v>
      </c>
      <c r="G733" s="6" t="s">
        <v>3721</v>
      </c>
      <c r="H733" s="1" t="s">
        <v>16</v>
      </c>
      <c r="I733" s="7">
        <v>45872.78579840278</v>
      </c>
      <c r="J733" s="7">
        <v>45890.47091758102</v>
      </c>
      <c r="K733" s="1" t="s">
        <v>17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60.0" customHeight="1">
      <c r="A734" s="1" t="s">
        <v>3722</v>
      </c>
      <c r="B734" s="1" t="s">
        <v>3723</v>
      </c>
      <c r="C734" s="2" t="s">
        <v>3724</v>
      </c>
      <c r="D734" s="5" t="str">
        <f>IMAGE("https://drive.google.com/uc?export=view&amp;id=1CJjSz_iAMUV14yIXAAtTsr_zKb4tNixV",2)</f>
        <v/>
      </c>
      <c r="E734" s="5" t="str">
        <f>IMAGE("https://drive.google.com/uc?export=view&amp;id=1CJjSz_iAMUV14yIXAAtTsr_zKb4tNixV",1)</f>
        <v/>
      </c>
      <c r="F734" s="6" t="s">
        <v>3725</v>
      </c>
      <c r="G734" s="6" t="s">
        <v>3726</v>
      </c>
      <c r="H734" s="1" t="s">
        <v>23</v>
      </c>
      <c r="I734" s="7">
        <v>45898.58485427083</v>
      </c>
      <c r="J734" s="7">
        <v>45898.5778125</v>
      </c>
      <c r="K734" s="1" t="s">
        <v>24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60.0" customHeight="1">
      <c r="A735" s="1" t="s">
        <v>3727</v>
      </c>
      <c r="B735" s="1" t="s">
        <v>3728</v>
      </c>
      <c r="C735" s="2" t="s">
        <v>3729</v>
      </c>
      <c r="D735" s="5" t="str">
        <f>IMAGE("https://drive.google.com/uc?export=view&amp;id=1HRVqihH8yLr7UDrVufRQWOeci5OyRTAa",2)</f>
        <v/>
      </c>
      <c r="E735" s="5" t="str">
        <f>IMAGE("https://drive.google.com/uc?export=view&amp;id=1HRVqihH8yLr7UDrVufRQWOeci5OyRTAa",1)</f>
        <v/>
      </c>
      <c r="F735" s="6" t="s">
        <v>3730</v>
      </c>
      <c r="G735" s="6" t="s">
        <v>3731</v>
      </c>
      <c r="H735" s="1" t="s">
        <v>128</v>
      </c>
      <c r="I735" s="7">
        <v>46017.49262855324</v>
      </c>
      <c r="J735" s="7">
        <v>46012.015821759254</v>
      </c>
      <c r="K735" s="1" t="s">
        <v>129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60.0" customHeight="1">
      <c r="A736" s="1" t="s">
        <v>3732</v>
      </c>
      <c r="B736" s="1" t="s">
        <v>3733</v>
      </c>
      <c r="C736" s="2" t="s">
        <v>3734</v>
      </c>
      <c r="D736" s="5" t="str">
        <f>IMAGE("https://drive.google.com/uc?export=view&amp;id=1Vg_818s0xfs8wnPq2nRH7GQ8-WzXhFQX",2)</f>
        <v/>
      </c>
      <c r="E736" s="5" t="str">
        <f>IMAGE("https://drive.google.com/uc?export=view&amp;id=1Vg_818s0xfs8wnPq2nRH7GQ8-WzXhFQX",1)</f>
        <v/>
      </c>
      <c r="F736" s="6" t="s">
        <v>3735</v>
      </c>
      <c r="G736" s="6" t="s">
        <v>3736</v>
      </c>
      <c r="H736" s="1" t="s">
        <v>70</v>
      </c>
      <c r="I736" s="7">
        <v>45868.79555609953</v>
      </c>
      <c r="J736" s="7">
        <v>45868.79570980324</v>
      </c>
      <c r="K736" s="1" t="s">
        <v>71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60.0" customHeight="1">
      <c r="A737" s="1" t="s">
        <v>3737</v>
      </c>
      <c r="B737" s="1" t="s">
        <v>3738</v>
      </c>
      <c r="C737" s="2" t="s">
        <v>3739</v>
      </c>
      <c r="D737" s="5" t="str">
        <f>IMAGE("https://drive.google.com/uc?export=view&amp;id=1q72GG3gcaEQU-AzdfGvdZjzcDCLIw8SH",2)</f>
        <v/>
      </c>
      <c r="E737" s="5" t="str">
        <f>IMAGE("https://drive.google.com/uc?export=view&amp;id=1q72GG3gcaEQU-AzdfGvdZjzcDCLIw8SH",1)</f>
        <v/>
      </c>
      <c r="F737" s="6" t="s">
        <v>3740</v>
      </c>
      <c r="G737" s="6" t="s">
        <v>3741</v>
      </c>
      <c r="H737" s="1" t="s">
        <v>16</v>
      </c>
      <c r="I737" s="7">
        <v>46049.65231792824</v>
      </c>
      <c r="J737" s="7">
        <v>46049.56297453704</v>
      </c>
      <c r="K737" s="1" t="s">
        <v>57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60.0" customHeight="1">
      <c r="A738" s="1" t="s">
        <v>3742</v>
      </c>
      <c r="B738" s="1" t="s">
        <v>3743</v>
      </c>
      <c r="C738" s="2" t="s">
        <v>3744</v>
      </c>
      <c r="D738" s="5" t="str">
        <f>IMAGE("https://drive.google.com/uc?export=view&amp;id=1TQQgS379lj7FfnxjVnwe-YTs2HRnBleh",2)</f>
        <v/>
      </c>
      <c r="E738" s="5" t="str">
        <f>IMAGE("https://drive.google.com/uc?export=view&amp;id=1TQQgS379lj7FfnxjVnwe-YTs2HRnBleh",1)</f>
        <v/>
      </c>
      <c r="F738" s="6" t="s">
        <v>3745</v>
      </c>
      <c r="G738" s="6" t="s">
        <v>3746</v>
      </c>
      <c r="H738" s="1" t="s">
        <v>820</v>
      </c>
      <c r="I738" s="7">
        <v>46017.517056446755</v>
      </c>
      <c r="J738" s="7">
        <v>46013.42199074074</v>
      </c>
      <c r="K738" s="1" t="s">
        <v>821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60.0" customHeight="1">
      <c r="A739" s="1" t="s">
        <v>3747</v>
      </c>
      <c r="B739" s="1" t="s">
        <v>3748</v>
      </c>
      <c r="C739" s="2" t="s">
        <v>3749</v>
      </c>
      <c r="D739" s="5" t="str">
        <f>IMAGE("https://drive.google.com/uc?export=view&amp;id=1yBW4WV7kR1nE6yGukOfb0mQbDt2vNzGt",2)</f>
        <v/>
      </c>
      <c r="E739" s="5" t="str">
        <f>IMAGE("https://drive.google.com/uc?export=view&amp;id=1yBW4WV7kR1nE6yGukOfb0mQbDt2vNzGt",1)</f>
        <v/>
      </c>
      <c r="F739" s="6" t="s">
        <v>3750</v>
      </c>
      <c r="G739" s="6" t="s">
        <v>3751</v>
      </c>
      <c r="H739" s="1" t="s">
        <v>70</v>
      </c>
      <c r="I739" s="7">
        <v>45868.69922469907</v>
      </c>
      <c r="J739" s="7">
        <v>45868.706164918985</v>
      </c>
      <c r="K739" s="1" t="s">
        <v>71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60.0" customHeight="1">
      <c r="A740" s="1" t="s">
        <v>3752</v>
      </c>
      <c r="B740" s="1" t="s">
        <v>3753</v>
      </c>
      <c r="C740" s="2" t="s">
        <v>3754</v>
      </c>
      <c r="D740" s="5" t="str">
        <f>IMAGE("https://drive.google.com/uc?export=view&amp;id=1ckPBu94mTSvtwZVItN_IlO8bQWMCqytV",2)</f>
        <v/>
      </c>
      <c r="E740" s="5" t="str">
        <f>IMAGE("https://drive.google.com/uc?export=view&amp;id=1ckPBu94mTSvtwZVItN_IlO8bQWMCqytV",1)</f>
        <v/>
      </c>
      <c r="F740" s="6" t="s">
        <v>3755</v>
      </c>
      <c r="G740" s="6" t="s">
        <v>3756</v>
      </c>
      <c r="H740" s="1" t="s">
        <v>16</v>
      </c>
      <c r="I740" s="7">
        <v>45869.501272118054</v>
      </c>
      <c r="J740" s="7">
        <v>45869.52004081018</v>
      </c>
      <c r="K740" s="1" t="s">
        <v>57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60.0" customHeight="1">
      <c r="A741" s="1" t="s">
        <v>3757</v>
      </c>
      <c r="B741" s="1" t="s">
        <v>3758</v>
      </c>
      <c r="C741" s="2" t="s">
        <v>3759</v>
      </c>
      <c r="D741" s="5" t="str">
        <f>IMAGE("https://drive.google.com/uc?export=view&amp;id=1If5OfucosV6q0gJiJWgal_EBYyRo52CO",2)</f>
        <v/>
      </c>
      <c r="E741" s="5" t="str">
        <f>IMAGE("https://drive.google.com/uc?export=view&amp;id=1If5OfucosV6q0gJiJWgal_EBYyRo52CO",1)</f>
        <v/>
      </c>
      <c r="F741" s="6" t="s">
        <v>3760</v>
      </c>
      <c r="G741" s="6" t="s">
        <v>3761</v>
      </c>
      <c r="H741" s="1" t="s">
        <v>820</v>
      </c>
      <c r="I741" s="7">
        <v>46017.517191446765</v>
      </c>
      <c r="J741" s="7">
        <v>46012.71633101851</v>
      </c>
      <c r="K741" s="1" t="s">
        <v>821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60.0" customHeight="1">
      <c r="A742" s="1" t="s">
        <v>3762</v>
      </c>
      <c r="B742" s="1" t="s">
        <v>3763</v>
      </c>
      <c r="C742" s="2" t="s">
        <v>3764</v>
      </c>
      <c r="D742" s="5" t="str">
        <f>IMAGE("https://drive.google.com/uc?export=view&amp;id=1V9LFqdEeh5m9HNpBzwtXEhqowEdAdqKt",2)</f>
        <v/>
      </c>
      <c r="E742" s="5" t="str">
        <f>IMAGE("https://drive.google.com/uc?export=view&amp;id=1V9LFqdEeh5m9HNpBzwtXEhqowEdAdqKt",1)</f>
        <v/>
      </c>
      <c r="F742" s="6" t="s">
        <v>3765</v>
      </c>
      <c r="G742" s="6" t="s">
        <v>3766</v>
      </c>
      <c r="H742" s="1" t="s">
        <v>16</v>
      </c>
      <c r="I742" s="7">
        <v>45873.51171505787</v>
      </c>
      <c r="J742" s="7">
        <v>45890.465099375</v>
      </c>
      <c r="K742" s="1" t="s">
        <v>17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60.0" customHeight="1">
      <c r="A743" s="1" t="s">
        <v>3767</v>
      </c>
      <c r="B743" s="1" t="s">
        <v>3768</v>
      </c>
      <c r="C743" s="2" t="s">
        <v>3769</v>
      </c>
      <c r="D743" s="5" t="str">
        <f>IMAGE("https://drive.google.com/uc?export=view&amp;id=1XGXWfX923VN5V86GAJX6gZSjv4--7Fyj",2)</f>
        <v/>
      </c>
      <c r="E743" s="5" t="str">
        <f>IMAGE("https://drive.google.com/uc?export=view&amp;id=1XGXWfX923VN5V86GAJX6gZSjv4--7Fyj",1)</f>
        <v/>
      </c>
      <c r="F743" s="6" t="s">
        <v>3770</v>
      </c>
      <c r="G743" s="6" t="s">
        <v>3771</v>
      </c>
      <c r="H743" s="1" t="s">
        <v>23</v>
      </c>
      <c r="I743" s="7">
        <v>45898.58479310185</v>
      </c>
      <c r="J743" s="7">
        <v>45898.57782407408</v>
      </c>
      <c r="K743" s="1" t="s">
        <v>24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60.0" customHeight="1">
      <c r="A744" s="1" t="s">
        <v>3772</v>
      </c>
      <c r="B744" s="1" t="s">
        <v>3773</v>
      </c>
      <c r="C744" s="2" t="s">
        <v>3774</v>
      </c>
      <c r="D744" s="5" t="str">
        <f>IMAGE("https://drive.google.com/uc?export=view&amp;id=11znIia-mviuHaG_1INoGAGKhrWJynIsh",2)</f>
        <v/>
      </c>
      <c r="E744" s="5" t="str">
        <f>IMAGE("https://drive.google.com/uc?export=view&amp;id=11znIia-mviuHaG_1INoGAGKhrWJynIsh",1)</f>
        <v/>
      </c>
      <c r="F744" s="6" t="s">
        <v>3775</v>
      </c>
      <c r="G744" s="6" t="s">
        <v>3776</v>
      </c>
      <c r="H744" s="1" t="s">
        <v>16</v>
      </c>
      <c r="I744" s="7">
        <v>45878.44808815973</v>
      </c>
      <c r="J744" s="7">
        <v>45890.46527945602</v>
      </c>
      <c r="K744" s="1" t="s">
        <v>17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60.0" customHeight="1">
      <c r="A745" s="1" t="s">
        <v>3777</v>
      </c>
      <c r="B745" s="1" t="s">
        <v>3778</v>
      </c>
      <c r="C745" s="2" t="s">
        <v>3779</v>
      </c>
      <c r="D745" s="5" t="str">
        <f>IMAGE("https://drive.google.com/uc?export=view&amp;id=1FlqVLwnmnDdYMef9HzlGJa687jEdevdV",2)</f>
        <v/>
      </c>
      <c r="E745" s="5" t="str">
        <f>IMAGE("https://drive.google.com/uc?export=view&amp;id=1FlqVLwnmnDdYMef9HzlGJa687jEdevdV",1)</f>
        <v/>
      </c>
      <c r="F745" s="6" t="s">
        <v>3780</v>
      </c>
      <c r="G745" s="6" t="s">
        <v>3781</v>
      </c>
      <c r="H745" s="1" t="s">
        <v>23</v>
      </c>
      <c r="I745" s="7">
        <v>45898.58479310185</v>
      </c>
      <c r="J745" s="7">
        <v>45898.57782407408</v>
      </c>
      <c r="K745" s="1" t="s">
        <v>24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60.0" customHeight="1">
      <c r="A746" s="1" t="s">
        <v>3782</v>
      </c>
      <c r="B746" s="1" t="s">
        <v>3783</v>
      </c>
      <c r="C746" s="2" t="s">
        <v>3784</v>
      </c>
      <c r="D746" s="5" t="str">
        <f>IMAGE("https://drive.google.com/uc?export=view&amp;id=1qCUZjqFZI7FyInach9GQCh5qrnsMq1nS",2)</f>
        <v/>
      </c>
      <c r="E746" s="5" t="str">
        <f>IMAGE("https://drive.google.com/uc?export=view&amp;id=1qCUZjqFZI7FyInach9GQCh5qrnsMq1nS",1)</f>
        <v/>
      </c>
      <c r="F746" s="6" t="s">
        <v>3785</v>
      </c>
      <c r="G746" s="6" t="s">
        <v>3786</v>
      </c>
      <c r="H746" s="1" t="s">
        <v>30</v>
      </c>
      <c r="I746" s="7">
        <v>45897.45632387731</v>
      </c>
      <c r="J746" s="7">
        <v>45913.55296084491</v>
      </c>
      <c r="K746" s="1" t="s">
        <v>31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60.0" customHeight="1">
      <c r="A747" s="1" t="s">
        <v>3787</v>
      </c>
      <c r="B747" s="1" t="s">
        <v>3788</v>
      </c>
      <c r="C747" s="2" t="s">
        <v>3789</v>
      </c>
      <c r="D747" s="5" t="str">
        <f>IMAGE("https://drive.google.com/uc?export=view&amp;id=1d0nOYDYUPkxoNpLXDlpRTmZLlcGQdDJ1",2)</f>
        <v/>
      </c>
      <c r="E747" s="5" t="str">
        <f>IMAGE("https://drive.google.com/uc?export=view&amp;id=1d0nOYDYUPkxoNpLXDlpRTmZLlcGQdDJ1",1)</f>
        <v/>
      </c>
      <c r="F747" s="6" t="s">
        <v>3790</v>
      </c>
      <c r="G747" s="6" t="s">
        <v>3791</v>
      </c>
      <c r="H747" s="1" t="s">
        <v>16</v>
      </c>
      <c r="I747" s="7">
        <v>45890.45665460648</v>
      </c>
      <c r="J747" s="7">
        <v>45890.41967592592</v>
      </c>
      <c r="K747" s="1" t="s">
        <v>17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60.0" customHeight="1">
      <c r="A748" s="1" t="s">
        <v>3792</v>
      </c>
      <c r="B748" s="1" t="s">
        <v>3793</v>
      </c>
      <c r="C748" s="2" t="s">
        <v>3794</v>
      </c>
      <c r="D748" s="5" t="str">
        <f>IMAGE("https://drive.google.com/uc?export=view&amp;id=1gBYR4HsnTzbShzDbFYYpv9CjIshqHFDW",2)</f>
        <v/>
      </c>
      <c r="E748" s="5" t="str">
        <f>IMAGE("https://drive.google.com/uc?export=view&amp;id=1gBYR4HsnTzbShzDbFYYpv9CjIshqHFDW",1)</f>
        <v/>
      </c>
      <c r="F748" s="6" t="s">
        <v>3795</v>
      </c>
      <c r="G748" s="6" t="s">
        <v>3796</v>
      </c>
      <c r="H748" s="1" t="s">
        <v>23</v>
      </c>
      <c r="I748" s="7">
        <v>45898.58479310185</v>
      </c>
      <c r="J748" s="7">
        <v>45898.57782407408</v>
      </c>
      <c r="K748" s="1" t="s">
        <v>24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60.0" customHeight="1">
      <c r="A749" s="1" t="s">
        <v>3797</v>
      </c>
      <c r="B749" s="1" t="s">
        <v>3798</v>
      </c>
      <c r="C749" s="2" t="s">
        <v>3799</v>
      </c>
      <c r="D749" s="5" t="str">
        <f>IMAGE("https://drive.google.com/uc?export=view&amp;id=1MWKHk8V7AUS83fszF4SoROZqrnBEHnIk",2)</f>
        <v/>
      </c>
      <c r="E749" s="5" t="str">
        <f>IMAGE("https://drive.google.com/uc?export=view&amp;id=1MWKHk8V7AUS83fszF4SoROZqrnBEHnIk",1)</f>
        <v/>
      </c>
      <c r="F749" s="6" t="s">
        <v>3800</v>
      </c>
      <c r="G749" s="6" t="s">
        <v>3801</v>
      </c>
      <c r="H749" s="1" t="s">
        <v>114</v>
      </c>
      <c r="I749" s="7">
        <v>45828.542957060185</v>
      </c>
      <c r="J749" s="7">
        <v>45860.69149167824</v>
      </c>
      <c r="K749" s="1" t="s">
        <v>115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60.0" customHeight="1">
      <c r="A750" s="1" t="s">
        <v>3802</v>
      </c>
      <c r="B750" s="1" t="s">
        <v>3803</v>
      </c>
      <c r="C750" s="2" t="s">
        <v>3804</v>
      </c>
      <c r="D750" s="5" t="str">
        <f>IMAGE("https://drive.google.com/uc?export=view&amp;id=16cg1Rd1QXbsUqhm-8Iuxugensn9tWmiZ",2)</f>
        <v/>
      </c>
      <c r="E750" s="5" t="str">
        <f>IMAGE("https://drive.google.com/uc?export=view&amp;id=16cg1Rd1QXbsUqhm-8Iuxugensn9tWmiZ",1)</f>
        <v/>
      </c>
      <c r="F750" s="6" t="s">
        <v>3805</v>
      </c>
      <c r="G750" s="6" t="s">
        <v>3806</v>
      </c>
      <c r="H750" s="1" t="s">
        <v>16</v>
      </c>
      <c r="I750" s="7">
        <v>45875.06997188657</v>
      </c>
      <c r="J750" s="7">
        <v>45890.46556648148</v>
      </c>
      <c r="K750" s="1" t="s">
        <v>17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60.0" customHeight="1">
      <c r="A751" s="1" t="s">
        <v>3807</v>
      </c>
      <c r="B751" s="1" t="s">
        <v>3808</v>
      </c>
      <c r="C751" s="2" t="s">
        <v>3809</v>
      </c>
      <c r="D751" s="5" t="str">
        <f>IMAGE("https://drive.google.com/uc?export=view&amp;id=1a43Yi13MJdJ-XoVgN_NXE4NJDpfGCJ4n",2)</f>
        <v/>
      </c>
      <c r="E751" s="5" t="str">
        <f>IMAGE("https://drive.google.com/uc?export=view&amp;id=1a43Yi13MJdJ-XoVgN_NXE4NJDpfGCJ4n",1)</f>
        <v/>
      </c>
      <c r="F751" s="6" t="s">
        <v>3810</v>
      </c>
      <c r="G751" s="6" t="s">
        <v>3811</v>
      </c>
      <c r="H751" s="1" t="s">
        <v>16</v>
      </c>
      <c r="I751" s="7">
        <v>45872.78345853009</v>
      </c>
      <c r="J751" s="7">
        <v>45890.465404560186</v>
      </c>
      <c r="K751" s="1" t="s">
        <v>17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60.0" customHeight="1">
      <c r="A752" s="1" t="s">
        <v>3812</v>
      </c>
      <c r="B752" s="1" t="s">
        <v>3813</v>
      </c>
      <c r="C752" s="2" t="s">
        <v>3814</v>
      </c>
      <c r="D752" s="5" t="str">
        <f>IMAGE("https://drive.google.com/uc?export=view&amp;id=1uGnrm82YVkMJ8VvmhUuOliHwROmeVATx",2)</f>
        <v/>
      </c>
      <c r="E752" s="5" t="str">
        <f>IMAGE("https://drive.google.com/uc?export=view&amp;id=1uGnrm82YVkMJ8VvmhUuOliHwROmeVATx",1)</f>
        <v/>
      </c>
      <c r="F752" s="6" t="s">
        <v>3815</v>
      </c>
      <c r="G752" s="6" t="s">
        <v>3816</v>
      </c>
      <c r="H752" s="1" t="s">
        <v>23</v>
      </c>
      <c r="I752" s="7">
        <v>45898.58479310185</v>
      </c>
      <c r="J752" s="7">
        <v>45898.57782407408</v>
      </c>
      <c r="K752" s="1" t="s">
        <v>24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60.0" customHeight="1">
      <c r="A753" s="1" t="s">
        <v>3817</v>
      </c>
      <c r="B753" s="1" t="s">
        <v>3818</v>
      </c>
      <c r="C753" s="2" t="s">
        <v>3819</v>
      </c>
      <c r="D753" s="5" t="str">
        <f>IMAGE("https://drive.google.com/uc?export=view&amp;id=1egkmmOiIfLaXEclBUkuRqLb9J7KfKF73",2)</f>
        <v/>
      </c>
      <c r="E753" s="5" t="str">
        <f>IMAGE("https://drive.google.com/uc?export=view&amp;id=1egkmmOiIfLaXEclBUkuRqLb9J7KfKF73",1)</f>
        <v/>
      </c>
      <c r="F753" s="6" t="s">
        <v>3820</v>
      </c>
      <c r="G753" s="6" t="s">
        <v>3821</v>
      </c>
      <c r="H753" s="1" t="s">
        <v>23</v>
      </c>
      <c r="I753" s="7">
        <v>45898.58482396991</v>
      </c>
      <c r="J753" s="7">
        <v>45898.57782407408</v>
      </c>
      <c r="K753" s="1" t="s">
        <v>24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60.0" customHeight="1">
      <c r="A754" s="1" t="s">
        <v>3822</v>
      </c>
      <c r="B754" s="1" t="s">
        <v>3823</v>
      </c>
      <c r="C754" s="2" t="s">
        <v>3824</v>
      </c>
      <c r="D754" s="5" t="str">
        <f>IMAGE("https://drive.google.com/uc?export=view&amp;id=13bo-c4LjMR5wYl7b7CREnS5MCgfRftrp",2)</f>
        <v/>
      </c>
      <c r="E754" s="5" t="str">
        <f>IMAGE("https://drive.google.com/uc?export=view&amp;id=13bo-c4LjMR5wYl7b7CREnS5MCgfRftrp",1)</f>
        <v/>
      </c>
      <c r="F754" s="6" t="s">
        <v>3825</v>
      </c>
      <c r="G754" s="6" t="s">
        <v>3826</v>
      </c>
      <c r="H754" s="1" t="s">
        <v>70</v>
      </c>
      <c r="I754" s="7">
        <v>45868.74963040509</v>
      </c>
      <c r="J754" s="7">
        <v>45868.785855636575</v>
      </c>
      <c r="K754" s="1" t="s">
        <v>71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60.0" customHeight="1">
      <c r="A755" s="1" t="s">
        <v>3827</v>
      </c>
      <c r="B755" s="1" t="s">
        <v>3828</v>
      </c>
      <c r="C755" s="2" t="s">
        <v>3829</v>
      </c>
      <c r="D755" s="5" t="str">
        <f>IMAGE("https://drive.google.com/uc?export=view&amp;id=1AHvKpoHfTqIJ9K6ZTf2pD_vPMhQp8OI-",2)</f>
        <v/>
      </c>
      <c r="E755" s="5" t="str">
        <f>IMAGE("https://drive.google.com/uc?export=view&amp;id=1AHvKpoHfTqIJ9K6ZTf2pD_vPMhQp8OI-",1)</f>
        <v/>
      </c>
      <c r="F755" s="6" t="s">
        <v>3830</v>
      </c>
      <c r="G755" s="6" t="s">
        <v>3831</v>
      </c>
      <c r="H755" s="1" t="s">
        <v>114</v>
      </c>
      <c r="I755" s="7">
        <v>46005.60785925926</v>
      </c>
      <c r="J755" s="7">
        <v>46005.55331018519</v>
      </c>
      <c r="K755" s="1" t="s">
        <v>115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60.0" customHeight="1">
      <c r="A756" s="1" t="s">
        <v>3832</v>
      </c>
      <c r="B756" s="1" t="s">
        <v>3833</v>
      </c>
      <c r="C756" s="2" t="s">
        <v>3834</v>
      </c>
      <c r="D756" s="5" t="str">
        <f>IMAGE("https://drive.google.com/uc?export=view&amp;id=1YYt3FUD__yH2ga3La2DOV2e_vuiK1Rbx",2)</f>
        <v/>
      </c>
      <c r="E756" s="5" t="str">
        <f>IMAGE("https://drive.google.com/uc?export=view&amp;id=1YYt3FUD__yH2ga3La2DOV2e_vuiK1Rbx",1)</f>
        <v/>
      </c>
      <c r="F756" s="6" t="s">
        <v>3835</v>
      </c>
      <c r="G756" s="6" t="s">
        <v>3836</v>
      </c>
      <c r="H756" s="1" t="s">
        <v>30</v>
      </c>
      <c r="I756" s="7">
        <v>45897.45838763889</v>
      </c>
      <c r="J756" s="7">
        <v>45913.555918564816</v>
      </c>
      <c r="K756" s="1" t="s">
        <v>31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60.0" customHeight="1">
      <c r="A757" s="1" t="s">
        <v>3837</v>
      </c>
      <c r="B757" s="1" t="s">
        <v>3838</v>
      </c>
      <c r="C757" s="2" t="s">
        <v>3839</v>
      </c>
      <c r="D757" s="5" t="str">
        <f>IMAGE("https://drive.google.com/uc?export=view&amp;id=1NEVKS0vAc5E33Z8z9cDht7UZMQck6h47",2)</f>
        <v/>
      </c>
      <c r="E757" s="5" t="str">
        <f>IMAGE("https://drive.google.com/uc?export=view&amp;id=1NEVKS0vAc5E33Z8z9cDht7UZMQck6h47",1)</f>
        <v/>
      </c>
      <c r="F757" s="6" t="s">
        <v>3840</v>
      </c>
      <c r="G757" s="6" t="s">
        <v>3841</v>
      </c>
      <c r="H757" s="1" t="s">
        <v>16</v>
      </c>
      <c r="I757" s="7">
        <v>45873.511851180556</v>
      </c>
      <c r="J757" s="7">
        <v>45890.46569684028</v>
      </c>
      <c r="K757" s="1" t="s">
        <v>17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60.0" customHeight="1">
      <c r="A758" s="1" t="s">
        <v>3842</v>
      </c>
      <c r="B758" s="1" t="s">
        <v>3843</v>
      </c>
      <c r="C758" s="2" t="s">
        <v>3844</v>
      </c>
      <c r="D758" s="5" t="str">
        <f>IMAGE("https://drive.google.com/uc?export=view&amp;id=161klJ-DMq58Ny-LekhfEA34HaaS231lw",2)</f>
        <v/>
      </c>
      <c r="E758" s="5" t="str">
        <f>IMAGE("https://drive.google.com/uc?export=view&amp;id=161klJ-DMq58Ny-LekhfEA34HaaS231lw",1)</f>
        <v/>
      </c>
      <c r="F758" s="6" t="s">
        <v>3845</v>
      </c>
      <c r="G758" s="6" t="s">
        <v>3846</v>
      </c>
      <c r="H758" s="1" t="s">
        <v>23</v>
      </c>
      <c r="I758" s="7">
        <v>45898.583514756945</v>
      </c>
      <c r="J758" s="7">
        <v>45898.577835648146</v>
      </c>
      <c r="K758" s="1" t="s">
        <v>24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60.0" customHeight="1">
      <c r="A759" s="1" t="s">
        <v>3847</v>
      </c>
      <c r="B759" s="1" t="s">
        <v>3848</v>
      </c>
      <c r="C759" s="2" t="s">
        <v>3849</v>
      </c>
      <c r="D759" s="5" t="str">
        <f>IMAGE("https://drive.google.com/uc?export=view&amp;id=1CFFuNDVkYh7LVCdDn2Ls1vnAq-NaPrda",2)</f>
        <v/>
      </c>
      <c r="E759" s="5" t="str">
        <f>IMAGE("https://drive.google.com/uc?export=view&amp;id=1CFFuNDVkYh7LVCdDn2Ls1vnAq-NaPrda",1)</f>
        <v/>
      </c>
      <c r="F759" s="6" t="s">
        <v>3850</v>
      </c>
      <c r="G759" s="6" t="s">
        <v>3851</v>
      </c>
      <c r="H759" s="1" t="s">
        <v>234</v>
      </c>
      <c r="I759" s="7">
        <v>46079.4853325463</v>
      </c>
      <c r="J759" s="7">
        <v>46070.97100694444</v>
      </c>
      <c r="K759" s="1" t="s">
        <v>235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60.0" customHeight="1">
      <c r="A760" s="1" t="s">
        <v>3852</v>
      </c>
      <c r="B760" s="1" t="s">
        <v>3853</v>
      </c>
      <c r="C760" s="2" t="s">
        <v>3854</v>
      </c>
      <c r="D760" s="5" t="str">
        <f>IMAGE("https://drive.google.com/uc?export=view&amp;id=1ipZGRSvtnlvQ61MKJEHy9oQU-wUeeyEa",2)</f>
        <v/>
      </c>
      <c r="E760" s="5" t="str">
        <f>IMAGE("https://drive.google.com/uc?export=view&amp;id=1ipZGRSvtnlvQ61MKJEHy9oQU-wUeeyEa",1)</f>
        <v/>
      </c>
      <c r="F760" s="6" t="s">
        <v>3855</v>
      </c>
      <c r="G760" s="6" t="s">
        <v>3856</v>
      </c>
      <c r="H760" s="1" t="s">
        <v>92</v>
      </c>
      <c r="I760" s="7">
        <v>45841.51981774306</v>
      </c>
      <c r="J760" s="7">
        <v>45860.70756915509</v>
      </c>
      <c r="K760" s="1" t="s">
        <v>93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60.0" customHeight="1">
      <c r="A761" s="1" t="s">
        <v>3857</v>
      </c>
      <c r="B761" s="1" t="s">
        <v>3858</v>
      </c>
      <c r="C761" s="2" t="s">
        <v>3859</v>
      </c>
      <c r="D761" s="5" t="str">
        <f>IMAGE("https://drive.google.com/uc?export=view&amp;id=1nWoUm9CYGPe9JfjISQkzeQluvhMN-X4O",2)</f>
        <v/>
      </c>
      <c r="E761" s="5" t="str">
        <f>IMAGE("https://drive.google.com/uc?export=view&amp;id=1nWoUm9CYGPe9JfjISQkzeQluvhMN-X4O",1)</f>
        <v/>
      </c>
      <c r="F761" s="6" t="s">
        <v>3860</v>
      </c>
      <c r="G761" s="6" t="s">
        <v>3861</v>
      </c>
      <c r="H761" s="1" t="s">
        <v>30</v>
      </c>
      <c r="I761" s="7">
        <v>45913.54671228009</v>
      </c>
      <c r="J761" s="7">
        <v>45904.669710648144</v>
      </c>
      <c r="K761" s="1" t="s">
        <v>31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60.0" customHeight="1">
      <c r="A762" s="1" t="s">
        <v>3862</v>
      </c>
      <c r="B762" s="1" t="s">
        <v>3863</v>
      </c>
      <c r="C762" s="2" t="s">
        <v>3864</v>
      </c>
      <c r="D762" s="5" t="str">
        <f>IMAGE("https://drive.google.com/uc?export=view&amp;id=14PzKf4Vpk29v6gPFemBmZgscbOPMLBm2",2)</f>
        <v/>
      </c>
      <c r="E762" s="5" t="str">
        <f>IMAGE("https://drive.google.com/uc?export=view&amp;id=14PzKf4Vpk29v6gPFemBmZgscbOPMLBm2",1)</f>
        <v/>
      </c>
      <c r="F762" s="6" t="s">
        <v>3865</v>
      </c>
      <c r="G762" s="6" t="s">
        <v>3866</v>
      </c>
      <c r="H762" s="1" t="s">
        <v>30</v>
      </c>
      <c r="I762" s="7">
        <v>45897.456467615746</v>
      </c>
      <c r="J762" s="7">
        <v>45913.55312591435</v>
      </c>
      <c r="K762" s="1" t="s">
        <v>31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60.0" customHeight="1">
      <c r="A763" s="1" t="s">
        <v>3867</v>
      </c>
      <c r="B763" s="1" t="s">
        <v>3868</v>
      </c>
      <c r="C763" s="2" t="s">
        <v>3869</v>
      </c>
      <c r="D763" s="5" t="str">
        <f>IMAGE("https://drive.google.com/uc?export=view&amp;id=1HvJP0IY3hrUgBzVD9lm3vPzifIES0xeR",2)</f>
        <v/>
      </c>
      <c r="E763" s="5" t="str">
        <f>IMAGE("https://drive.google.com/uc?export=view&amp;id=1HvJP0IY3hrUgBzVD9lm3vPzifIES0xeR",1)</f>
        <v/>
      </c>
      <c r="F763" s="6" t="s">
        <v>3870</v>
      </c>
      <c r="G763" s="6" t="s">
        <v>3871</v>
      </c>
      <c r="H763" s="1" t="s">
        <v>114</v>
      </c>
      <c r="I763" s="7">
        <v>45792.40203329861</v>
      </c>
      <c r="J763" s="7">
        <v>45860.707728333335</v>
      </c>
      <c r="K763" s="1" t="s">
        <v>115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60.0" customHeight="1">
      <c r="A764" s="1" t="s">
        <v>3872</v>
      </c>
      <c r="B764" s="1" t="s">
        <v>3873</v>
      </c>
      <c r="C764" s="2" t="s">
        <v>3874</v>
      </c>
      <c r="D764" s="5" t="str">
        <f>IMAGE("https://drive.google.com/uc?export=view&amp;id=1TOv1xva0M7UOVyJOE4yQCPmOVinFIfM5",2)</f>
        <v/>
      </c>
      <c r="E764" s="5" t="str">
        <f>IMAGE("https://drive.google.com/uc?export=view&amp;id=1TOv1xva0M7UOVyJOE4yQCPmOVinFIfM5",1)</f>
        <v/>
      </c>
      <c r="F764" s="6" t="s">
        <v>3875</v>
      </c>
      <c r="G764" s="6" t="s">
        <v>3876</v>
      </c>
      <c r="H764" s="1" t="s">
        <v>30</v>
      </c>
      <c r="I764" s="7">
        <v>46048.6950263426</v>
      </c>
      <c r="J764" s="7">
        <v>46048.69510319445</v>
      </c>
      <c r="K764" s="1" t="s">
        <v>31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60.0" customHeight="1">
      <c r="A765" s="1" t="s">
        <v>3877</v>
      </c>
      <c r="B765" s="1" t="s">
        <v>3878</v>
      </c>
      <c r="C765" s="2" t="s">
        <v>3879</v>
      </c>
      <c r="D765" s="5" t="str">
        <f>IMAGE("https://drive.google.com/uc?export=view&amp;id=10UqD9VWNdQNuQnqq912HB9zJ2-_WPY_Y",2)</f>
        <v/>
      </c>
      <c r="E765" s="5" t="str">
        <f>IMAGE("https://drive.google.com/uc?export=view&amp;id=10UqD9VWNdQNuQnqq912HB9zJ2-_WPY_Y",1)</f>
        <v/>
      </c>
      <c r="F765" s="6" t="s">
        <v>3880</v>
      </c>
      <c r="G765" s="6" t="s">
        <v>3881</v>
      </c>
      <c r="H765" s="1" t="s">
        <v>30</v>
      </c>
      <c r="I765" s="7">
        <v>45897.45662645833</v>
      </c>
      <c r="J765" s="7">
        <v>45913.55327770833</v>
      </c>
      <c r="K765" s="1" t="s">
        <v>31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60.0" customHeight="1">
      <c r="A766" s="1" t="s">
        <v>3882</v>
      </c>
      <c r="B766" s="1" t="s">
        <v>3883</v>
      </c>
      <c r="C766" s="2" t="s">
        <v>3884</v>
      </c>
      <c r="D766" s="5" t="str">
        <f>IMAGE("https://drive.google.com/uc?export=view&amp;id=1weKAHlGwDHWkv0mx0Q4HAFlFWupwYWWL",2)</f>
        <v/>
      </c>
      <c r="E766" s="5" t="str">
        <f>IMAGE("https://drive.google.com/uc?export=view&amp;id=1weKAHlGwDHWkv0mx0Q4HAFlFWupwYWWL",1)</f>
        <v/>
      </c>
      <c r="F766" s="6" t="s">
        <v>3885</v>
      </c>
      <c r="G766" s="6" t="s">
        <v>3886</v>
      </c>
      <c r="H766" s="1" t="s">
        <v>1682</v>
      </c>
      <c r="I766" s="7">
        <v>45933.67073261574</v>
      </c>
      <c r="J766" s="7">
        <v>45933.67106363426</v>
      </c>
      <c r="K766" s="1" t="s">
        <v>1683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60.0" customHeight="1">
      <c r="A767" s="1" t="s">
        <v>3887</v>
      </c>
      <c r="B767" s="1" t="s">
        <v>3888</v>
      </c>
      <c r="C767" s="2" t="s">
        <v>3889</v>
      </c>
      <c r="D767" s="5" t="str">
        <f>IMAGE("https://drive.google.com/uc?export=view&amp;id=1YYB6_uO0_WDhIFsDJ3UX_1Rtu73W4mow",2)</f>
        <v/>
      </c>
      <c r="E767" s="5" t="str">
        <f>IMAGE("https://drive.google.com/uc?export=view&amp;id=1YYB6_uO0_WDhIFsDJ3UX_1Rtu73W4mow",1)</f>
        <v/>
      </c>
      <c r="F767" s="6" t="s">
        <v>3890</v>
      </c>
      <c r="G767" s="6" t="s">
        <v>3891</v>
      </c>
      <c r="H767" s="1" t="s">
        <v>135</v>
      </c>
      <c r="I767" s="7">
        <v>46059.94497652778</v>
      </c>
      <c r="J767" s="7">
        <v>46059.97625674769</v>
      </c>
      <c r="K767" s="1" t="s">
        <v>136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60.0" customHeight="1">
      <c r="A768" s="1" t="s">
        <v>3892</v>
      </c>
      <c r="B768" s="1" t="s">
        <v>3893</v>
      </c>
      <c r="C768" s="2" t="s">
        <v>3894</v>
      </c>
      <c r="D768" s="5" t="str">
        <f>IMAGE("https://drive.google.com/uc?export=view&amp;id=1mDj-LHQFWb82D9odGz5DE2JnGpqW52gB",2)</f>
        <v/>
      </c>
      <c r="E768" s="5" t="str">
        <f>IMAGE("https://drive.google.com/uc?export=view&amp;id=1mDj-LHQFWb82D9odGz5DE2JnGpqW52gB",1)</f>
        <v/>
      </c>
      <c r="F768" s="6" t="s">
        <v>3895</v>
      </c>
      <c r="G768" s="6" t="s">
        <v>3896</v>
      </c>
      <c r="H768" s="1" t="s">
        <v>135</v>
      </c>
      <c r="I768" s="7">
        <v>46059.945310995376</v>
      </c>
      <c r="J768" s="7">
        <v>46059.97615642361</v>
      </c>
      <c r="K768" s="1" t="s">
        <v>136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60.0" customHeight="1">
      <c r="A769" s="1" t="s">
        <v>3897</v>
      </c>
      <c r="B769" s="1" t="s">
        <v>3898</v>
      </c>
      <c r="C769" s="2" t="s">
        <v>3899</v>
      </c>
      <c r="D769" s="5" t="str">
        <f>IMAGE("https://drive.google.com/uc?export=view&amp;id=1M7ZMUtOB3hUDgrpsHyu75IC5H_bap-Gl",2)</f>
        <v/>
      </c>
      <c r="E769" s="5" t="str">
        <f>IMAGE("https://drive.google.com/uc?export=view&amp;id=1M7ZMUtOB3hUDgrpsHyu75IC5H_bap-Gl",1)</f>
        <v/>
      </c>
      <c r="F769" s="6" t="s">
        <v>3900</v>
      </c>
      <c r="G769" s="6" t="s">
        <v>3901</v>
      </c>
      <c r="H769" s="1" t="s">
        <v>16</v>
      </c>
      <c r="I769" s="7">
        <v>45890.456806284725</v>
      </c>
      <c r="J769" s="7">
        <v>45889.00467592593</v>
      </c>
      <c r="K769" s="1" t="s">
        <v>17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60.0" customHeight="1">
      <c r="A770" s="1" t="s">
        <v>3902</v>
      </c>
      <c r="B770" s="1" t="s">
        <v>3903</v>
      </c>
      <c r="C770" s="2" t="s">
        <v>3904</v>
      </c>
      <c r="D770" s="5" t="str">
        <f>IMAGE("https://drive.google.com/uc?export=view&amp;id=14gvzasbR-Opu8uLXaRVCzLzpmMHIZTTB",2)</f>
        <v/>
      </c>
      <c r="E770" s="5" t="str">
        <f>IMAGE("https://drive.google.com/uc?export=view&amp;id=14gvzasbR-Opu8uLXaRVCzLzpmMHIZTTB",1)</f>
        <v/>
      </c>
      <c r="F770" s="6" t="s">
        <v>3905</v>
      </c>
      <c r="G770" s="6" t="s">
        <v>3906</v>
      </c>
      <c r="H770" s="1" t="s">
        <v>23</v>
      </c>
      <c r="I770" s="7">
        <v>45898.58353520834</v>
      </c>
      <c r="J770" s="7">
        <v>45898.577835648146</v>
      </c>
      <c r="K770" s="1" t="s">
        <v>24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60.0" customHeight="1">
      <c r="A771" s="1" t="s">
        <v>3907</v>
      </c>
      <c r="B771" s="1" t="s">
        <v>3908</v>
      </c>
      <c r="C771" s="2" t="s">
        <v>3909</v>
      </c>
      <c r="D771" s="5" t="str">
        <f>IMAGE("https://drive.google.com/uc?export=view&amp;id=1YlDgkIOqm5gVLebnzC2Om_M_e0CaOhGM",2)</f>
        <v/>
      </c>
      <c r="E771" s="5" t="str">
        <f>IMAGE("https://drive.google.com/uc?export=view&amp;id=1YlDgkIOqm5gVLebnzC2Om_M_e0CaOhGM",1)</f>
        <v/>
      </c>
      <c r="F771" s="6" t="s">
        <v>3910</v>
      </c>
      <c r="G771" s="6" t="s">
        <v>3911</v>
      </c>
      <c r="H771" s="1" t="s">
        <v>30</v>
      </c>
      <c r="I771" s="7">
        <v>45913.55606315972</v>
      </c>
      <c r="J771" s="7">
        <v>46048.686120370374</v>
      </c>
      <c r="K771" s="1" t="s">
        <v>31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60.0" customHeight="1">
      <c r="A772" s="1" t="s">
        <v>3912</v>
      </c>
      <c r="B772" s="1" t="s">
        <v>3913</v>
      </c>
      <c r="C772" s="2" t="s">
        <v>3914</v>
      </c>
      <c r="D772" s="5" t="str">
        <f>IMAGE("https://drive.google.com/uc?export=view&amp;id=13Rfa7gFFA8DdkZ1j7Vv2kc0AIBV2EmBl",2)</f>
        <v/>
      </c>
      <c r="E772" s="5" t="str">
        <f>IMAGE("https://drive.google.com/uc?export=view&amp;id=13Rfa7gFFA8DdkZ1j7Vv2kc0AIBV2EmBl",1)</f>
        <v/>
      </c>
      <c r="F772" s="6" t="s">
        <v>3915</v>
      </c>
      <c r="G772" s="6" t="s">
        <v>3916</v>
      </c>
      <c r="H772" s="1" t="s">
        <v>30</v>
      </c>
      <c r="I772" s="7">
        <v>45913.546839525465</v>
      </c>
      <c r="J772" s="7">
        <v>46048.686071516204</v>
      </c>
      <c r="K772" s="1" t="s">
        <v>31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60.0" customHeight="1">
      <c r="A773" s="1" t="s">
        <v>3917</v>
      </c>
      <c r="B773" s="1" t="s">
        <v>3918</v>
      </c>
      <c r="C773" s="2" t="s">
        <v>3919</v>
      </c>
      <c r="D773" s="5" t="str">
        <f>IMAGE("https://drive.google.com/uc?export=view&amp;id=1nZ0wzUHrRCfhIIb_uzQmYPhOVojKXzPi",2)</f>
        <v/>
      </c>
      <c r="E773" s="5" t="str">
        <f>IMAGE("https://drive.google.com/uc?export=view&amp;id=1nZ0wzUHrRCfhIIb_uzQmYPhOVojKXzPi",1)</f>
        <v/>
      </c>
      <c r="F773" s="6" t="s">
        <v>3920</v>
      </c>
      <c r="G773" s="6" t="s">
        <v>3921</v>
      </c>
      <c r="H773" s="1" t="s">
        <v>30</v>
      </c>
      <c r="I773" s="7">
        <v>45913.54700825231</v>
      </c>
      <c r="J773" s="7">
        <v>45904.588055555556</v>
      </c>
      <c r="K773" s="1" t="s">
        <v>31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60.0" customHeight="1">
      <c r="A774" s="1" t="s">
        <v>3922</v>
      </c>
      <c r="B774" s="1" t="s">
        <v>3923</v>
      </c>
      <c r="C774" s="2" t="s">
        <v>3924</v>
      </c>
      <c r="D774" s="5" t="str">
        <f>IMAGE("https://drive.google.com/uc?export=view&amp;id=1qXsvaF3bobm84x2c568xiZ8VDX0LWFIH",2)</f>
        <v/>
      </c>
      <c r="E774" s="5" t="str">
        <f>IMAGE("https://drive.google.com/uc?export=view&amp;id=1qXsvaF3bobm84x2c568xiZ8VDX0LWFIH",1)</f>
        <v/>
      </c>
      <c r="F774" s="6" t="s">
        <v>3925</v>
      </c>
      <c r="G774" s="6" t="s">
        <v>3926</v>
      </c>
      <c r="H774" s="1" t="s">
        <v>70</v>
      </c>
      <c r="I774" s="7">
        <v>46048.03100513889</v>
      </c>
      <c r="J774" s="7">
        <v>46049.643745625</v>
      </c>
      <c r="K774" s="1" t="s">
        <v>71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60.0" customHeight="1">
      <c r="A775" s="1" t="s">
        <v>3927</v>
      </c>
      <c r="B775" s="1" t="s">
        <v>3928</v>
      </c>
      <c r="C775" s="2" t="s">
        <v>3929</v>
      </c>
      <c r="D775" s="5" t="str">
        <f>IMAGE("https://drive.google.com/uc?export=view&amp;id=1528nnhYI52_LaO2XVA-5A9plHj66aGiR",2)</f>
        <v/>
      </c>
      <c r="E775" s="5" t="str">
        <f>IMAGE("https://drive.google.com/uc?export=view&amp;id=1528nnhYI52_LaO2XVA-5A9plHj66aGiR",1)</f>
        <v/>
      </c>
      <c r="F775" s="6" t="s">
        <v>3930</v>
      </c>
      <c r="G775" s="6" t="s">
        <v>3931</v>
      </c>
      <c r="H775" s="1" t="s">
        <v>92</v>
      </c>
      <c r="I775" s="7">
        <v>45841.51998045139</v>
      </c>
      <c r="J775" s="7">
        <v>45860.70787439815</v>
      </c>
      <c r="K775" s="1" t="s">
        <v>93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60.0" customHeight="1">
      <c r="A776" s="1" t="s">
        <v>3932</v>
      </c>
      <c r="B776" s="1" t="s">
        <v>3933</v>
      </c>
      <c r="C776" s="2" t="s">
        <v>3934</v>
      </c>
      <c r="D776" s="5" t="str">
        <f>IMAGE("https://drive.google.com/uc?export=view&amp;id=1W4xldxMPlbVHRfzHHs4s0ww9ApvF9GoE",2)</f>
        <v/>
      </c>
      <c r="E776" s="5" t="str">
        <f>IMAGE("https://drive.google.com/uc?export=view&amp;id=1W4xldxMPlbVHRfzHHs4s0ww9ApvF9GoE",1)</f>
        <v/>
      </c>
      <c r="F776" s="6" t="s">
        <v>3935</v>
      </c>
      <c r="G776" s="6" t="s">
        <v>3936</v>
      </c>
      <c r="H776" s="1" t="s">
        <v>92</v>
      </c>
      <c r="I776" s="7">
        <v>45841.52013665509</v>
      </c>
      <c r="J776" s="7">
        <v>45860.70801130787</v>
      </c>
      <c r="K776" s="1" t="s">
        <v>93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60.0" customHeight="1">
      <c r="A777" s="1" t="s">
        <v>3937</v>
      </c>
      <c r="B777" s="1" t="s">
        <v>3938</v>
      </c>
      <c r="C777" s="2" t="s">
        <v>3939</v>
      </c>
      <c r="D777" s="5" t="str">
        <f>IMAGE("https://drive.google.com/uc?export=view&amp;id=1fASJYZKZid3SxxORfG7R2v9GlGxl3R5b",2)</f>
        <v/>
      </c>
      <c r="E777" s="5" t="str">
        <f>IMAGE("https://drive.google.com/uc?export=view&amp;id=1fASJYZKZid3SxxORfG7R2v9GlGxl3R5b",1)</f>
        <v/>
      </c>
      <c r="F777" s="6" t="s">
        <v>3940</v>
      </c>
      <c r="G777" s="6" t="s">
        <v>3941</v>
      </c>
      <c r="H777" s="1" t="s">
        <v>70</v>
      </c>
      <c r="I777" s="7">
        <v>45888.77786934028</v>
      </c>
      <c r="J777" s="7">
        <v>45888.76752314815</v>
      </c>
      <c r="K777" s="1" t="s">
        <v>71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60.0" customHeight="1">
      <c r="A778" s="1" t="s">
        <v>3942</v>
      </c>
      <c r="B778" s="1" t="s">
        <v>3943</v>
      </c>
      <c r="C778" s="2" t="s">
        <v>3944</v>
      </c>
      <c r="D778" s="5" t="str">
        <f>IMAGE("https://drive.google.com/uc?export=view&amp;id=1tQJitECMesOhR2cbwBKZvBmr-XBRIlxS",2)</f>
        <v/>
      </c>
      <c r="E778" s="5" t="str">
        <f>IMAGE("https://drive.google.com/uc?export=view&amp;id=1tQJitECMesOhR2cbwBKZvBmr-XBRIlxS",1)</f>
        <v/>
      </c>
      <c r="F778" s="6" t="s">
        <v>3945</v>
      </c>
      <c r="G778" s="6" t="s">
        <v>3946</v>
      </c>
      <c r="H778" s="1" t="s">
        <v>16</v>
      </c>
      <c r="I778" s="7">
        <v>45890.45692953704</v>
      </c>
      <c r="J778" s="7">
        <v>45889.0147337963</v>
      </c>
      <c r="K778" s="1" t="s">
        <v>17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60.0" customHeight="1">
      <c r="A779" s="1" t="s">
        <v>3947</v>
      </c>
      <c r="B779" s="1" t="s">
        <v>3948</v>
      </c>
      <c r="C779" s="2" t="s">
        <v>3949</v>
      </c>
      <c r="D779" s="5" t="str">
        <f>IMAGE("https://drive.google.com/uc?export=view&amp;id=1eZuQPrNXvirnXGsXQq1gYCz3qtIf25a6",2)</f>
        <v/>
      </c>
      <c r="E779" s="5" t="str">
        <f>IMAGE("https://drive.google.com/uc?export=view&amp;id=1eZuQPrNXvirnXGsXQq1gYCz3qtIf25a6",1)</f>
        <v/>
      </c>
      <c r="F779" s="6" t="s">
        <v>3950</v>
      </c>
      <c r="G779" s="6" t="s">
        <v>3951</v>
      </c>
      <c r="H779" s="1" t="s">
        <v>23</v>
      </c>
      <c r="I779" s="7">
        <v>45898.58349599537</v>
      </c>
      <c r="J779" s="7">
        <v>45898.577835648146</v>
      </c>
      <c r="K779" s="1" t="s">
        <v>24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60.0" customHeight="1">
      <c r="A780" s="1" t="s">
        <v>3952</v>
      </c>
      <c r="B780" s="1" t="s">
        <v>3953</v>
      </c>
      <c r="C780" s="2" t="s">
        <v>3954</v>
      </c>
      <c r="D780" s="5" t="str">
        <f>IMAGE("https://drive.google.com/uc?export=view&amp;id=108EcG5Ovv3_842ZP68qXhFegdNGr-48m",2)</f>
        <v/>
      </c>
      <c r="E780" s="5" t="str">
        <f>IMAGE("https://drive.google.com/uc?export=view&amp;id=108EcG5Ovv3_842ZP68qXhFegdNGr-48m",1)</f>
        <v/>
      </c>
      <c r="F780" s="6" t="s">
        <v>3955</v>
      </c>
      <c r="G780" s="6" t="s">
        <v>3956</v>
      </c>
      <c r="H780" s="1" t="s">
        <v>304</v>
      </c>
      <c r="I780" s="7">
        <v>45860.696649467594</v>
      </c>
      <c r="J780" s="7">
        <v>45924.57208628472</v>
      </c>
      <c r="K780" s="1" t="s">
        <v>305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60.0" customHeight="1">
      <c r="A781" s="1" t="s">
        <v>3957</v>
      </c>
      <c r="B781" s="1" t="s">
        <v>3958</v>
      </c>
      <c r="C781" s="2" t="s">
        <v>3959</v>
      </c>
      <c r="D781" s="5" t="str">
        <f>IMAGE("https://drive.google.com/uc?export=view&amp;id=1YJXDTR45ZSY_FUBXpw-UywBgGrtOq34m",2)</f>
        <v/>
      </c>
      <c r="E781" s="5" t="str">
        <f>IMAGE("https://drive.google.com/uc?export=view&amp;id=1YJXDTR45ZSY_FUBXpw-UywBgGrtOq34m",1)</f>
        <v/>
      </c>
      <c r="F781" s="6" t="s">
        <v>3960</v>
      </c>
      <c r="G781" s="6" t="s">
        <v>3961</v>
      </c>
      <c r="H781" s="1" t="s">
        <v>128</v>
      </c>
      <c r="I781" s="7">
        <v>46017.49290752315</v>
      </c>
      <c r="J781" s="7">
        <v>46011.533541666664</v>
      </c>
      <c r="K781" s="1" t="s">
        <v>129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60.0" customHeight="1">
      <c r="A782" s="1" t="s">
        <v>3962</v>
      </c>
      <c r="B782" s="1" t="s">
        <v>3963</v>
      </c>
      <c r="C782" s="2" t="s">
        <v>3964</v>
      </c>
      <c r="D782" s="5" t="str">
        <f>IMAGE("https://drive.google.com/uc?export=view&amp;id=1DywbpLQnB2qwuu5Kk6wO6m1fS_AyHCfX",2)</f>
        <v/>
      </c>
      <c r="E782" s="5" t="str">
        <f>IMAGE("https://drive.google.com/uc?export=view&amp;id=1DywbpLQnB2qwuu5Kk6wO6m1fS_AyHCfX",1)</f>
        <v/>
      </c>
      <c r="F782" s="6" t="s">
        <v>3965</v>
      </c>
      <c r="G782" s="6" t="s">
        <v>3966</v>
      </c>
      <c r="H782" s="1" t="s">
        <v>128</v>
      </c>
      <c r="I782" s="7">
        <v>46017.49318070602</v>
      </c>
      <c r="J782" s="7">
        <v>46011.70894675926</v>
      </c>
      <c r="K782" s="1" t="s">
        <v>129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60.0" customHeight="1">
      <c r="A783" s="1" t="s">
        <v>3967</v>
      </c>
      <c r="B783" s="1" t="s">
        <v>3968</v>
      </c>
      <c r="C783" s="2" t="s">
        <v>3969</v>
      </c>
      <c r="D783" s="5" t="str">
        <f>IMAGE("https://drive.google.com/uc?export=view&amp;id=1NHom9Mfpo8XXlF3NUvyDyEoYvmH6Ht44",2)</f>
        <v/>
      </c>
      <c r="E783" s="5" t="str">
        <f>IMAGE("https://drive.google.com/uc?export=view&amp;id=1NHom9Mfpo8XXlF3NUvyDyEoYvmH6Ht44",1)</f>
        <v/>
      </c>
      <c r="F783" s="6" t="s">
        <v>3970</v>
      </c>
      <c r="G783" s="6" t="s">
        <v>3971</v>
      </c>
      <c r="H783" s="1" t="s">
        <v>449</v>
      </c>
      <c r="I783" s="7">
        <v>46009.39950327546</v>
      </c>
      <c r="J783" s="7">
        <v>46008.73261574074</v>
      </c>
      <c r="K783" s="1" t="s">
        <v>450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60.0" customHeight="1">
      <c r="A784" s="1" t="s">
        <v>3972</v>
      </c>
      <c r="B784" s="1" t="s">
        <v>3973</v>
      </c>
      <c r="C784" s="2" t="s">
        <v>3974</v>
      </c>
      <c r="D784" s="5" t="str">
        <f>IMAGE("https://drive.google.com/uc?export=view&amp;id=1X1fSyTpIOHlg5HVPxXVSMozSpRk4WDOP",2)</f>
        <v/>
      </c>
      <c r="E784" s="5" t="str">
        <f>IMAGE("https://drive.google.com/uc?export=view&amp;id=1X1fSyTpIOHlg5HVPxXVSMozSpRk4WDOP",1)</f>
        <v/>
      </c>
      <c r="F784" s="6" t="s">
        <v>3975</v>
      </c>
      <c r="G784" s="6" t="s">
        <v>3976</v>
      </c>
      <c r="H784" s="1" t="s">
        <v>16</v>
      </c>
      <c r="I784" s="7">
        <v>45872.78567972222</v>
      </c>
      <c r="J784" s="7">
        <v>45890.47103405093</v>
      </c>
      <c r="K784" s="1" t="s">
        <v>17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60.0" customHeight="1">
      <c r="A785" s="1" t="s">
        <v>3977</v>
      </c>
      <c r="B785" s="1" t="s">
        <v>3978</v>
      </c>
      <c r="C785" s="2" t="s">
        <v>3979</v>
      </c>
      <c r="D785" s="5" t="str">
        <f>IMAGE("https://drive.google.com/uc?export=view&amp;id=154DNqpK-dEsiBw-2A6DRZyV5KfC-fOSD",2)</f>
        <v/>
      </c>
      <c r="E785" s="5" t="str">
        <f>IMAGE("https://drive.google.com/uc?export=view&amp;id=154DNqpK-dEsiBw-2A6DRZyV5KfC-fOSD",1)</f>
        <v/>
      </c>
      <c r="F785" s="6" t="s">
        <v>3980</v>
      </c>
      <c r="G785" s="6" t="s">
        <v>3981</v>
      </c>
      <c r="H785" s="1" t="s">
        <v>23</v>
      </c>
      <c r="I785" s="7">
        <v>45898.58350266203</v>
      </c>
      <c r="J785" s="7">
        <v>45898.57784722222</v>
      </c>
      <c r="K785" s="1" t="s">
        <v>24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60.0" customHeight="1">
      <c r="A786" s="1" t="s">
        <v>3982</v>
      </c>
      <c r="B786" s="1" t="s">
        <v>3983</v>
      </c>
      <c r="C786" s="2" t="s">
        <v>3984</v>
      </c>
      <c r="D786" s="5" t="str">
        <f>IMAGE("https://drive.google.com/uc?export=view&amp;id=1O2E8j3ni4ovGSRNb1_kgzk3Kt7cEZe55",2)</f>
        <v/>
      </c>
      <c r="E786" s="5" t="str">
        <f>IMAGE("https://drive.google.com/uc?export=view&amp;id=1O2E8j3ni4ovGSRNb1_kgzk3Kt7cEZe55",1)</f>
        <v/>
      </c>
      <c r="F786" s="6" t="s">
        <v>3985</v>
      </c>
      <c r="G786" s="6" t="s">
        <v>3986</v>
      </c>
      <c r="H786" s="1" t="s">
        <v>70</v>
      </c>
      <c r="I786" s="7">
        <v>45868.792513078704</v>
      </c>
      <c r="J786" s="7">
        <v>45868.792584097224</v>
      </c>
      <c r="K786" s="1" t="s">
        <v>71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60.0" customHeight="1">
      <c r="A787" s="1" t="s">
        <v>3987</v>
      </c>
      <c r="B787" s="1" t="s">
        <v>3988</v>
      </c>
      <c r="C787" s="2" t="s">
        <v>3989</v>
      </c>
      <c r="D787" s="5" t="str">
        <f>IMAGE("https://drive.google.com/uc?export=view&amp;id=1EAJv1JgMY3s7ClBPcSj0-wDld-UP2mR3",2)</f>
        <v/>
      </c>
      <c r="E787" s="5" t="str">
        <f>IMAGE("https://drive.google.com/uc?export=view&amp;id=1EAJv1JgMY3s7ClBPcSj0-wDld-UP2mR3",1)</f>
        <v/>
      </c>
      <c r="F787" s="6" t="s">
        <v>3990</v>
      </c>
      <c r="G787" s="6" t="s">
        <v>3991</v>
      </c>
      <c r="H787" s="1" t="s">
        <v>16</v>
      </c>
      <c r="I787" s="7">
        <v>45887.500020023144</v>
      </c>
      <c r="J787" s="7">
        <v>45890.46585864583</v>
      </c>
      <c r="K787" s="1" t="s">
        <v>17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60.0" customHeight="1">
      <c r="A788" s="1" t="s">
        <v>3992</v>
      </c>
      <c r="B788" s="1" t="s">
        <v>3993</v>
      </c>
      <c r="C788" s="2" t="s">
        <v>3994</v>
      </c>
      <c r="D788" s="5" t="str">
        <f>IMAGE("https://drive.google.com/uc?export=view&amp;id=1Vu0fMuo3prZbMYE1ImsMcRPBDkegafSi",2)</f>
        <v/>
      </c>
      <c r="E788" s="5" t="str">
        <f>IMAGE("https://drive.google.com/uc?export=view&amp;id=1Vu0fMuo3prZbMYE1ImsMcRPBDkegafSi",1)</f>
        <v/>
      </c>
      <c r="F788" s="6" t="s">
        <v>3995</v>
      </c>
      <c r="G788" s="6" t="s">
        <v>3996</v>
      </c>
      <c r="H788" s="1" t="s">
        <v>23</v>
      </c>
      <c r="I788" s="7">
        <v>45898.58356900463</v>
      </c>
      <c r="J788" s="7">
        <v>45898.57784722222</v>
      </c>
      <c r="K788" s="1" t="s">
        <v>24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60.0" customHeight="1">
      <c r="A789" s="1" t="s">
        <v>3997</v>
      </c>
      <c r="B789" s="1" t="s">
        <v>3998</v>
      </c>
      <c r="C789" s="2" t="s">
        <v>3999</v>
      </c>
      <c r="D789" s="5" t="str">
        <f>IMAGE("https://drive.google.com/uc?export=view&amp;id=1impoyutkdVIuINw58qELfK3xXh8jY32A",2)</f>
        <v/>
      </c>
      <c r="E789" s="5" t="str">
        <f>IMAGE("https://drive.google.com/uc?export=view&amp;id=1impoyutkdVIuINw58qELfK3xXh8jY32A",1)</f>
        <v/>
      </c>
      <c r="F789" s="6" t="s">
        <v>4000</v>
      </c>
      <c r="G789" s="6" t="s">
        <v>4001</v>
      </c>
      <c r="H789" s="1" t="s">
        <v>70</v>
      </c>
      <c r="I789" s="7">
        <v>45885.6855215625</v>
      </c>
      <c r="J789" s="7">
        <v>45885.68751655093</v>
      </c>
      <c r="K789" s="1" t="s">
        <v>71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60.0" customHeight="1">
      <c r="A790" s="1" t="s">
        <v>4002</v>
      </c>
      <c r="B790" s="1" t="s">
        <v>4003</v>
      </c>
      <c r="C790" s="2" t="s">
        <v>4004</v>
      </c>
      <c r="D790" s="5" t="str">
        <f>IMAGE("https://drive.google.com/uc?export=view&amp;id=1EloKA3Yn-kU3B-ZDgZWpi_Cozw9FuXPF",2)</f>
        <v/>
      </c>
      <c r="E790" s="5" t="str">
        <f>IMAGE("https://drive.google.com/uc?export=view&amp;id=1EloKA3Yn-kU3B-ZDgZWpi_Cozw9FuXPF",1)</f>
        <v/>
      </c>
      <c r="F790" s="6" t="s">
        <v>4005</v>
      </c>
      <c r="G790" s="6" t="s">
        <v>4006</v>
      </c>
      <c r="H790" s="1" t="s">
        <v>70</v>
      </c>
      <c r="I790" s="7">
        <v>45885.68520408565</v>
      </c>
      <c r="J790" s="7">
        <v>45885.68743619213</v>
      </c>
      <c r="K790" s="1" t="s">
        <v>71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60.0" customHeight="1">
      <c r="A791" s="1" t="s">
        <v>4007</v>
      </c>
      <c r="B791" s="1" t="s">
        <v>4008</v>
      </c>
      <c r="C791" s="2" t="s">
        <v>4009</v>
      </c>
      <c r="D791" s="5" t="str">
        <f>IMAGE("https://drive.google.com/uc?export=view&amp;id=1VFaW7dmsD6C-MMQeQyi2HEQquPsxqUUs",2)</f>
        <v/>
      </c>
      <c r="E791" s="5" t="str">
        <f>IMAGE("https://drive.google.com/uc?export=view&amp;id=1VFaW7dmsD6C-MMQeQyi2HEQquPsxqUUs",1)</f>
        <v/>
      </c>
      <c r="F791" s="6" t="s">
        <v>4010</v>
      </c>
      <c r="G791" s="6" t="s">
        <v>4011</v>
      </c>
      <c r="H791" s="1" t="s">
        <v>70</v>
      </c>
      <c r="I791" s="7">
        <v>45885.68491950231</v>
      </c>
      <c r="J791" s="7">
        <v>45885.68748420139</v>
      </c>
      <c r="K791" s="1" t="s">
        <v>71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60.0" customHeight="1">
      <c r="A792" s="1" t="s">
        <v>4012</v>
      </c>
      <c r="B792" s="1" t="s">
        <v>4013</v>
      </c>
      <c r="C792" s="2" t="s">
        <v>4014</v>
      </c>
      <c r="D792" s="5" t="str">
        <f>IMAGE("https://drive.google.com/uc?export=view&amp;id=1hPgEv8yck4W7dxN3_-5IPnbkwctitu2P",2)</f>
        <v/>
      </c>
      <c r="E792" s="5" t="str">
        <f>IMAGE("https://drive.google.com/uc?export=view&amp;id=1hPgEv8yck4W7dxN3_-5IPnbkwctitu2P",1)</f>
        <v/>
      </c>
      <c r="F792" s="6" t="s">
        <v>4015</v>
      </c>
      <c r="G792" s="6" t="s">
        <v>4016</v>
      </c>
      <c r="H792" s="1" t="s">
        <v>70</v>
      </c>
      <c r="I792" s="7">
        <v>45885.685061446755</v>
      </c>
      <c r="J792" s="7">
        <v>45885.687471261575</v>
      </c>
      <c r="K792" s="1" t="s">
        <v>71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60.0" customHeight="1">
      <c r="A793" s="1" t="s">
        <v>4017</v>
      </c>
      <c r="B793" s="1" t="s">
        <v>4018</v>
      </c>
      <c r="C793" s="2" t="s">
        <v>4019</v>
      </c>
      <c r="D793" s="5" t="str">
        <f>IMAGE("https://drive.google.com/uc?export=view&amp;id=1Ip8pirtY72h_vu47CNT1dydRCnS-RHOm",2)</f>
        <v/>
      </c>
      <c r="E793" s="5" t="str">
        <f>IMAGE("https://drive.google.com/uc?export=view&amp;id=1Ip8pirtY72h_vu47CNT1dydRCnS-RHOm",1)</f>
        <v/>
      </c>
      <c r="F793" s="6" t="s">
        <v>4020</v>
      </c>
      <c r="G793" s="6" t="s">
        <v>4021</v>
      </c>
      <c r="H793" s="1" t="s">
        <v>70</v>
      </c>
      <c r="I793" s="7">
        <v>45885.68396653935</v>
      </c>
      <c r="J793" s="7">
        <v>45885.68749709491</v>
      </c>
      <c r="K793" s="1" t="s">
        <v>71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60.0" customHeight="1">
      <c r="A794" s="1" t="s">
        <v>4022</v>
      </c>
      <c r="B794" s="1" t="s">
        <v>4023</v>
      </c>
      <c r="C794" s="2" t="s">
        <v>4024</v>
      </c>
      <c r="D794" s="5" t="str">
        <f>IMAGE("https://drive.google.com/uc?export=view&amp;id=1QXpY_C-f4ai6COHcIp7rytEQ0GG_x1jW",2)</f>
        <v/>
      </c>
      <c r="E794" s="5" t="str">
        <f>IMAGE("https://drive.google.com/uc?export=view&amp;id=1QXpY_C-f4ai6COHcIp7rytEQ0GG_x1jW",1)</f>
        <v/>
      </c>
      <c r="F794" s="6" t="s">
        <v>4025</v>
      </c>
      <c r="G794" s="6" t="s">
        <v>4026</v>
      </c>
      <c r="H794" s="1" t="s">
        <v>70</v>
      </c>
      <c r="I794" s="7">
        <v>45885.68534454861</v>
      </c>
      <c r="J794" s="7">
        <v>45885.68745596065</v>
      </c>
      <c r="K794" s="1" t="s">
        <v>71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60.0" customHeight="1">
      <c r="A795" s="1" t="s">
        <v>4027</v>
      </c>
      <c r="B795" s="1" t="s">
        <v>4028</v>
      </c>
      <c r="C795" s="2" t="s">
        <v>4029</v>
      </c>
      <c r="D795" s="5" t="str">
        <f>IMAGE("https://drive.google.com/uc?export=view&amp;id=1fxzEHvemxgBj29oCrvlNCvzbyXS-zYpx",2)</f>
        <v/>
      </c>
      <c r="E795" s="5" t="str">
        <f>IMAGE("https://drive.google.com/uc?export=view&amp;id=1fxzEHvemxgBj29oCrvlNCvzbyXS-zYpx",1)</f>
        <v/>
      </c>
      <c r="F795" s="6" t="s">
        <v>4030</v>
      </c>
      <c r="G795" s="6" t="s">
        <v>4031</v>
      </c>
      <c r="H795" s="1" t="s">
        <v>820</v>
      </c>
      <c r="I795" s="7">
        <v>46017.51733444445</v>
      </c>
      <c r="J795" s="7">
        <v>46012.04416666667</v>
      </c>
      <c r="K795" s="1" t="s">
        <v>821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60.0" customHeight="1">
      <c r="A796" s="1" t="s">
        <v>4032</v>
      </c>
      <c r="B796" s="1" t="s">
        <v>4033</v>
      </c>
      <c r="C796" s="2" t="s">
        <v>4034</v>
      </c>
      <c r="D796" s="5" t="str">
        <f>IMAGE("https://drive.google.com/uc?export=view&amp;id=1-FYr6HrECEw1V8H23DEzuwZwL_DPRnkU",2)</f>
        <v/>
      </c>
      <c r="E796" s="5" t="str">
        <f>IMAGE("https://drive.google.com/uc?export=view&amp;id=1-FYr6HrECEw1V8H23DEzuwZwL_DPRnkU",1)</f>
        <v/>
      </c>
      <c r="F796" s="6" t="s">
        <v>4035</v>
      </c>
      <c r="G796" s="6" t="s">
        <v>4036</v>
      </c>
      <c r="H796" s="1" t="s">
        <v>820</v>
      </c>
      <c r="I796" s="7">
        <v>46017.51748545139</v>
      </c>
      <c r="J796" s="7">
        <v>46010.99965277778</v>
      </c>
      <c r="K796" s="1" t="s">
        <v>821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60.0" customHeight="1">
      <c r="A797" s="1" t="s">
        <v>4037</v>
      </c>
      <c r="B797" s="1" t="s">
        <v>4038</v>
      </c>
      <c r="C797" s="2" t="s">
        <v>4039</v>
      </c>
      <c r="D797" s="5" t="str">
        <f>IMAGE("https://drive.google.com/uc?export=view&amp;id=1YfBAznujkJQGIQdUtnV1i9ZCDe0nVLAs",2)</f>
        <v/>
      </c>
      <c r="E797" s="5" t="str">
        <f>IMAGE("https://drive.google.com/uc?export=view&amp;id=1YfBAznujkJQGIQdUtnV1i9ZCDe0nVLAs",1)</f>
        <v/>
      </c>
      <c r="F797" s="6" t="s">
        <v>4040</v>
      </c>
      <c r="G797" s="6" t="s">
        <v>4041</v>
      </c>
      <c r="H797" s="1" t="s">
        <v>353</v>
      </c>
      <c r="I797" s="7">
        <v>45828.55262030092</v>
      </c>
      <c r="J797" s="7">
        <v>45857.04471508102</v>
      </c>
      <c r="K797" s="1" t="s">
        <v>354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60.0" customHeight="1">
      <c r="A798" s="1" t="s">
        <v>4042</v>
      </c>
      <c r="B798" s="1" t="s">
        <v>4043</v>
      </c>
      <c r="C798" s="2" t="s">
        <v>4044</v>
      </c>
      <c r="D798" s="5" t="str">
        <f>IMAGE("https://drive.google.com/uc?export=view&amp;id=1jgCsKWxnZbWDYRqDyhrdq2Jk2YcT-Qms",2)</f>
        <v/>
      </c>
      <c r="E798" s="5" t="str">
        <f>IMAGE("https://drive.google.com/uc?export=view&amp;id=1jgCsKWxnZbWDYRqDyhrdq2Jk2YcT-Qms",1)</f>
        <v/>
      </c>
      <c r="F798" s="6" t="s">
        <v>4045</v>
      </c>
      <c r="G798" s="6" t="s">
        <v>4046</v>
      </c>
      <c r="H798" s="1" t="s">
        <v>92</v>
      </c>
      <c r="I798" s="7">
        <v>46005.71350277778</v>
      </c>
      <c r="J798" s="7">
        <v>46005.71221064815</v>
      </c>
      <c r="K798" s="1" t="s">
        <v>93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60.0" customHeight="1">
      <c r="A799" s="1" t="s">
        <v>4047</v>
      </c>
      <c r="B799" s="1" t="s">
        <v>4048</v>
      </c>
      <c r="C799" s="2" t="s">
        <v>4049</v>
      </c>
      <c r="D799" s="5" t="str">
        <f>IMAGE("https://drive.google.com/uc?export=view&amp;id=1x9cPuTxLJXdRwI4WFiZurCyHKQgB1kO-",2)</f>
        <v/>
      </c>
      <c r="E799" s="5" t="str">
        <f>IMAGE("https://drive.google.com/uc?export=view&amp;id=1x9cPuTxLJXdRwI4WFiZurCyHKQgB1kO-",1)</f>
        <v/>
      </c>
      <c r="F799" s="6" t="s">
        <v>4050</v>
      </c>
      <c r="G799" s="6" t="s">
        <v>4051</v>
      </c>
      <c r="H799" s="1" t="s">
        <v>449</v>
      </c>
      <c r="I799" s="7">
        <v>46009.4028737037</v>
      </c>
      <c r="J799" s="7">
        <v>46008.71472222223</v>
      </c>
      <c r="K799" s="1" t="s">
        <v>450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60.0" customHeight="1">
      <c r="A800" s="1" t="s">
        <v>4052</v>
      </c>
      <c r="B800" s="1" t="s">
        <v>4053</v>
      </c>
      <c r="C800" s="2" t="s">
        <v>4054</v>
      </c>
      <c r="D800" s="5" t="str">
        <f>IMAGE("https://drive.google.com/uc?export=view&amp;id=1CqDjmFfTfQoBSwuBgc7FPmW6FywG-wxk",2)</f>
        <v/>
      </c>
      <c r="E800" s="5" t="str">
        <f>IMAGE("https://drive.google.com/uc?export=view&amp;id=1CqDjmFfTfQoBSwuBgc7FPmW6FywG-wxk",1)</f>
        <v/>
      </c>
      <c r="F800" s="6" t="s">
        <v>4055</v>
      </c>
      <c r="G800" s="6" t="s">
        <v>4056</v>
      </c>
      <c r="H800" s="1" t="s">
        <v>16</v>
      </c>
      <c r="I800" s="7">
        <v>45887.50016645833</v>
      </c>
      <c r="J800" s="7">
        <v>45890.46600170139</v>
      </c>
      <c r="K800" s="1" t="s">
        <v>17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60.0" customHeight="1">
      <c r="A801" s="1" t="s">
        <v>4057</v>
      </c>
      <c r="B801" s="1" t="s">
        <v>4058</v>
      </c>
      <c r="C801" s="2" t="s">
        <v>4059</v>
      </c>
      <c r="D801" s="5" t="str">
        <f>IMAGE("https://drive.google.com/uc?export=view&amp;id=1RMj4w24ikpGmjn647oFNdOsJpREhH6GZ",2)</f>
        <v/>
      </c>
      <c r="E801" s="5" t="str">
        <f>IMAGE("https://drive.google.com/uc?export=view&amp;id=1RMj4w24ikpGmjn647oFNdOsJpREhH6GZ",1)</f>
        <v/>
      </c>
      <c r="F801" s="6" t="s">
        <v>4060</v>
      </c>
      <c r="G801" s="6" t="s">
        <v>4061</v>
      </c>
      <c r="H801" s="1" t="s">
        <v>23</v>
      </c>
      <c r="I801" s="7">
        <v>45898.58353520834</v>
      </c>
      <c r="J801" s="7">
        <v>45898.57784722222</v>
      </c>
      <c r="K801" s="1" t="s">
        <v>24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60.0" customHeight="1">
      <c r="A802" s="1" t="s">
        <v>4062</v>
      </c>
      <c r="B802" s="1" t="s">
        <v>4063</v>
      </c>
      <c r="C802" s="2" t="s">
        <v>4064</v>
      </c>
      <c r="D802" s="5" t="str">
        <f>IMAGE("https://drive.google.com/uc?export=view&amp;id=1oCFWdUAoE9ZPmnqzQtdQBOBNlsis-J3q",2)</f>
        <v/>
      </c>
      <c r="E802" s="5" t="str">
        <f>IMAGE("https://drive.google.com/uc?export=view&amp;id=1oCFWdUAoE9ZPmnqzQtdQBOBNlsis-J3q",1)</f>
        <v/>
      </c>
      <c r="F802" s="6" t="s">
        <v>4065</v>
      </c>
      <c r="G802" s="6" t="s">
        <v>4066</v>
      </c>
      <c r="H802" s="1" t="s">
        <v>16</v>
      </c>
      <c r="I802" s="7">
        <v>45873.51199458333</v>
      </c>
      <c r="J802" s="7">
        <v>45890.466144618054</v>
      </c>
      <c r="K802" s="1" t="s">
        <v>17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60.0" customHeight="1">
      <c r="A803" s="1" t="s">
        <v>4067</v>
      </c>
      <c r="B803" s="1" t="s">
        <v>4068</v>
      </c>
      <c r="C803" s="2" t="s">
        <v>4069</v>
      </c>
      <c r="D803" s="5" t="str">
        <f>IMAGE("https://drive.google.com/uc?export=view&amp;id=1xsF6kyv8cwp5SLR70azD7byxF_mpvmr5",2)</f>
        <v/>
      </c>
      <c r="E803" s="5" t="str">
        <f>IMAGE("https://drive.google.com/uc?export=view&amp;id=1xsF6kyv8cwp5SLR70azD7byxF_mpvmr5",1)</f>
        <v/>
      </c>
      <c r="F803" s="6" t="s">
        <v>4070</v>
      </c>
      <c r="G803" s="6" t="s">
        <v>4071</v>
      </c>
      <c r="H803" s="1" t="s">
        <v>23</v>
      </c>
      <c r="I803" s="7">
        <v>45898.58356900463</v>
      </c>
      <c r="J803" s="7">
        <v>45898.57784722222</v>
      </c>
      <c r="K803" s="1" t="s">
        <v>24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60.0" customHeight="1">
      <c r="A804" s="1" t="s">
        <v>4072</v>
      </c>
      <c r="B804" s="1" t="s">
        <v>4073</v>
      </c>
      <c r="C804" s="2" t="s">
        <v>4074</v>
      </c>
      <c r="D804" s="5" t="str">
        <f>IMAGE("https://drive.google.com/uc?export=view&amp;id=1MuP75rw-f8mM2rXlh3fPr77I4189HHpA",2)</f>
        <v/>
      </c>
      <c r="E804" s="5" t="str">
        <f>IMAGE("https://drive.google.com/uc?export=view&amp;id=1MuP75rw-f8mM2rXlh3fPr77I4189HHpA",1)</f>
        <v/>
      </c>
      <c r="F804" s="6" t="s">
        <v>4075</v>
      </c>
      <c r="G804" s="6" t="s">
        <v>4076</v>
      </c>
      <c r="H804" s="1" t="s">
        <v>30</v>
      </c>
      <c r="I804" s="7">
        <v>45897.456765717594</v>
      </c>
      <c r="J804" s="7">
        <v>45913.55341673611</v>
      </c>
      <c r="K804" s="1" t="s">
        <v>31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60.0" customHeight="1">
      <c r="A805" s="1" t="s">
        <v>4077</v>
      </c>
      <c r="B805" s="1" t="s">
        <v>4078</v>
      </c>
      <c r="C805" s="2" t="s">
        <v>4079</v>
      </c>
      <c r="D805" s="5" t="str">
        <f>IMAGE("https://drive.google.com/uc?export=view&amp;id=10pC-DIQUINqDFZiR40n4DAHZ-KutKgxJ",2)</f>
        <v/>
      </c>
      <c r="E805" s="5" t="str">
        <f>IMAGE("https://drive.google.com/uc?export=view&amp;id=10pC-DIQUINqDFZiR40n4DAHZ-KutKgxJ",1)</f>
        <v/>
      </c>
      <c r="F805" s="6" t="s">
        <v>4080</v>
      </c>
      <c r="G805" s="6" t="s">
        <v>4081</v>
      </c>
      <c r="H805" s="1" t="s">
        <v>1682</v>
      </c>
      <c r="I805" s="7">
        <v>45933.6572409375</v>
      </c>
      <c r="J805" s="7">
        <v>45996.42865210648</v>
      </c>
      <c r="K805" s="1" t="s">
        <v>1683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60.0" customHeight="1">
      <c r="A806" s="1" t="s">
        <v>4082</v>
      </c>
      <c r="B806" s="1" t="s">
        <v>4083</v>
      </c>
      <c r="C806" s="2" t="s">
        <v>4084</v>
      </c>
      <c r="D806" s="5" t="str">
        <f>IMAGE("https://drive.google.com/uc?export=view&amp;id=1YFegDv9BTcK6To3Z2K5Lj4jet62Bfmsx",2)</f>
        <v/>
      </c>
      <c r="E806" s="5" t="str">
        <f>IMAGE("https://drive.google.com/uc?export=view&amp;id=1YFegDv9BTcK6To3Z2K5Lj4jet62Bfmsx",1)</f>
        <v/>
      </c>
      <c r="F806" s="6" t="s">
        <v>4085</v>
      </c>
      <c r="G806" s="6" t="s">
        <v>4086</v>
      </c>
      <c r="H806" s="1" t="s">
        <v>135</v>
      </c>
      <c r="I806" s="7">
        <v>46059.94514646991</v>
      </c>
      <c r="J806" s="7">
        <v>46060.38374907407</v>
      </c>
      <c r="K806" s="1" t="s">
        <v>136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60.0" customHeight="1">
      <c r="A807" s="1" t="s">
        <v>4087</v>
      </c>
      <c r="B807" s="1" t="s">
        <v>4088</v>
      </c>
      <c r="C807" s="2" t="s">
        <v>4089</v>
      </c>
      <c r="D807" s="5" t="str">
        <f>IMAGE("https://drive.google.com/uc?export=view&amp;id=1nkkjJcOPCpP7lvod6HzpoFGiIqIvqlFh",2)</f>
        <v/>
      </c>
      <c r="E807" s="5" t="str">
        <f>IMAGE("https://drive.google.com/uc?export=view&amp;id=1nkkjJcOPCpP7lvod6HzpoFGiIqIvqlFh",1)</f>
        <v/>
      </c>
      <c r="F807" s="6" t="s">
        <v>4090</v>
      </c>
      <c r="G807" s="6" t="s">
        <v>4091</v>
      </c>
      <c r="H807" s="1" t="s">
        <v>135</v>
      </c>
      <c r="I807" s="7">
        <v>46059.94477498843</v>
      </c>
      <c r="J807" s="7">
        <v>46060.38385643519</v>
      </c>
      <c r="K807" s="1" t="s">
        <v>136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60.0" customHeight="1">
      <c r="A808" s="1" t="s">
        <v>4092</v>
      </c>
      <c r="B808" s="1" t="s">
        <v>4093</v>
      </c>
      <c r="C808" s="2" t="s">
        <v>4094</v>
      </c>
      <c r="D808" s="5" t="str">
        <f>IMAGE("https://drive.google.com/uc?export=view&amp;id=1drrZIEJM0jT85asYJIEuG-Mk2vS3bDF8",2)</f>
        <v/>
      </c>
      <c r="E808" s="5" t="str">
        <f>IMAGE("https://drive.google.com/uc?export=view&amp;id=1drrZIEJM0jT85asYJIEuG-Mk2vS3bDF8",1)</f>
        <v/>
      </c>
      <c r="F808" s="6" t="s">
        <v>4095</v>
      </c>
      <c r="G808" s="6" t="s">
        <v>4096</v>
      </c>
      <c r="H808" s="1" t="s">
        <v>16</v>
      </c>
      <c r="I808" s="7">
        <v>45872.78358278935</v>
      </c>
      <c r="J808" s="7">
        <v>45890.46626613426</v>
      </c>
      <c r="K808" s="1" t="s">
        <v>17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60.0" customHeight="1">
      <c r="A809" s="1" t="s">
        <v>4097</v>
      </c>
      <c r="B809" s="1" t="s">
        <v>4098</v>
      </c>
      <c r="C809" s="2" t="s">
        <v>4099</v>
      </c>
      <c r="D809" s="5" t="str">
        <f>IMAGE("https://drive.google.com/uc?export=view&amp;id=1oOY1e-sjEgqfkCIDKQ25uBlBIPq2OdjZ",2)</f>
        <v/>
      </c>
      <c r="E809" s="5" t="str">
        <f>IMAGE("https://drive.google.com/uc?export=view&amp;id=1oOY1e-sjEgqfkCIDKQ25uBlBIPq2OdjZ",1)</f>
        <v/>
      </c>
      <c r="F809" s="6" t="s">
        <v>4100</v>
      </c>
      <c r="G809" s="6" t="s">
        <v>4101</v>
      </c>
      <c r="H809" s="1" t="s">
        <v>23</v>
      </c>
      <c r="I809" s="7">
        <v>45898.58353520834</v>
      </c>
      <c r="J809" s="7">
        <v>45898.57784722222</v>
      </c>
      <c r="K809" s="1" t="s">
        <v>24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60.0" customHeight="1">
      <c r="A810" s="1" t="s">
        <v>4102</v>
      </c>
      <c r="B810" s="1" t="s">
        <v>4103</v>
      </c>
      <c r="C810" s="2" t="s">
        <v>4104</v>
      </c>
      <c r="D810" s="5" t="str">
        <f>IMAGE("https://drive.google.com/uc?export=view&amp;id=1xk_nTBPNU2WIBVjT68wM5Ik4mGZE8BDR",2)</f>
        <v/>
      </c>
      <c r="E810" s="5" t="str">
        <f>IMAGE("https://drive.google.com/uc?export=view&amp;id=1xk_nTBPNU2WIBVjT68wM5Ik4mGZE8BDR",1)</f>
        <v/>
      </c>
      <c r="F810" s="6" t="s">
        <v>4105</v>
      </c>
      <c r="G810" s="6" t="s">
        <v>4106</v>
      </c>
      <c r="H810" s="1" t="s">
        <v>16</v>
      </c>
      <c r="I810" s="7">
        <v>45890.54079076389</v>
      </c>
      <c r="J810" s="7">
        <v>45890.54046296296</v>
      </c>
      <c r="K810" s="1" t="s">
        <v>17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60.0" customHeight="1">
      <c r="A811" s="1" t="s">
        <v>4107</v>
      </c>
      <c r="B811" s="1" t="s">
        <v>4108</v>
      </c>
      <c r="C811" s="2" t="s">
        <v>4109</v>
      </c>
      <c r="D811" s="5" t="str">
        <f>IMAGE("https://drive.google.com/uc?export=view&amp;id=1EyXjyzdrubTk0aEl3cahMdxoFDlPTbfe",2)</f>
        <v/>
      </c>
      <c r="E811" s="5" t="str">
        <f>IMAGE("https://drive.google.com/uc?export=view&amp;id=1EyXjyzdrubTk0aEl3cahMdxoFDlPTbfe",1)</f>
        <v/>
      </c>
      <c r="F811" s="6" t="s">
        <v>4110</v>
      </c>
      <c r="G811" s="6" t="s">
        <v>4111</v>
      </c>
      <c r="H811" s="1" t="s">
        <v>23</v>
      </c>
      <c r="I811" s="7">
        <v>45898.58353520834</v>
      </c>
      <c r="J811" s="7">
        <v>45898.57784722222</v>
      </c>
      <c r="K811" s="1" t="s">
        <v>24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60.0" customHeight="1">
      <c r="A812" s="1" t="s">
        <v>4112</v>
      </c>
      <c r="B812" s="1" t="s">
        <v>4113</v>
      </c>
      <c r="C812" s="2" t="s">
        <v>4114</v>
      </c>
      <c r="D812" s="5" t="str">
        <f>IMAGE("https://drive.google.com/uc?export=view&amp;id=178zlSL6v0X8LJcR-NseYmzlZ1n6sv3AX",2)</f>
        <v/>
      </c>
      <c r="E812" s="5" t="str">
        <f>IMAGE("https://drive.google.com/uc?export=view&amp;id=178zlSL6v0X8LJcR-NseYmzlZ1n6sv3AX",1)</f>
        <v/>
      </c>
      <c r="F812" s="6" t="s">
        <v>4115</v>
      </c>
      <c r="G812" s="6" t="s">
        <v>4116</v>
      </c>
      <c r="H812" s="1" t="s">
        <v>16</v>
      </c>
      <c r="I812" s="7">
        <v>45872.786006064816</v>
      </c>
      <c r="J812" s="7">
        <v>45890.47289616898</v>
      </c>
      <c r="K812" s="1" t="s">
        <v>17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60.0" customHeight="1">
      <c r="A813" s="1" t="s">
        <v>4117</v>
      </c>
      <c r="B813" s="1" t="s">
        <v>4118</v>
      </c>
      <c r="C813" s="2" t="s">
        <v>4119</v>
      </c>
      <c r="D813" s="5" t="str">
        <f>IMAGE("https://drive.google.com/uc?export=view&amp;id=1SIdJdkQ5B11SGwUyMNK-C3ymW7-eswhn",2)</f>
        <v/>
      </c>
      <c r="E813" s="5" t="str">
        <f>IMAGE("https://drive.google.com/uc?export=view&amp;id=1SIdJdkQ5B11SGwUyMNK-C3ymW7-eswhn",1)</f>
        <v/>
      </c>
      <c r="F813" s="6" t="s">
        <v>4120</v>
      </c>
      <c r="G813" s="6" t="s">
        <v>4121</v>
      </c>
      <c r="H813" s="1" t="s">
        <v>23</v>
      </c>
      <c r="I813" s="7">
        <v>45898.58352738426</v>
      </c>
      <c r="J813" s="7">
        <v>45898.5778587963</v>
      </c>
      <c r="K813" s="1" t="s">
        <v>24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60.0" customHeight="1">
      <c r="A814" s="1" t="s">
        <v>4122</v>
      </c>
      <c r="B814" s="1" t="s">
        <v>4123</v>
      </c>
      <c r="C814" s="2" t="s">
        <v>4124</v>
      </c>
      <c r="D814" s="5" t="str">
        <f>IMAGE("https://drive.google.com/uc?export=view&amp;id=1w4iLuyOvLuXqUf_eU3g091RnL8ik8URZ",2)</f>
        <v/>
      </c>
      <c r="E814" s="5" t="str">
        <f>IMAGE("https://drive.google.com/uc?export=view&amp;id=1w4iLuyOvLuXqUf_eU3g091RnL8ik8URZ",1)</f>
        <v/>
      </c>
      <c r="F814" s="6" t="s">
        <v>4125</v>
      </c>
      <c r="G814" s="6" t="s">
        <v>4126</v>
      </c>
      <c r="H814" s="1" t="s">
        <v>16</v>
      </c>
      <c r="I814" s="7">
        <v>45872.78435578704</v>
      </c>
      <c r="J814" s="7">
        <v>45890.46642013889</v>
      </c>
      <c r="K814" s="1" t="s">
        <v>17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60.0" customHeight="1">
      <c r="A815" s="1" t="s">
        <v>4127</v>
      </c>
      <c r="B815" s="1" t="s">
        <v>4128</v>
      </c>
      <c r="C815" s="2" t="s">
        <v>4129</v>
      </c>
      <c r="D815" s="5" t="str">
        <f>IMAGE("https://drive.google.com/uc?export=view&amp;id=1Z5mDOSyyT8mZ8-IF8otzlBwA5-Hs158M",2)</f>
        <v/>
      </c>
      <c r="E815" s="5" t="str">
        <f>IMAGE("https://drive.google.com/uc?export=view&amp;id=1Z5mDOSyyT8mZ8-IF8otzlBwA5-Hs158M",1)</f>
        <v/>
      </c>
      <c r="F815" s="6" t="s">
        <v>4130</v>
      </c>
      <c r="G815" s="6" t="s">
        <v>4131</v>
      </c>
      <c r="H815" s="1" t="s">
        <v>23</v>
      </c>
      <c r="I815" s="7">
        <v>45898.58355585649</v>
      </c>
      <c r="J815" s="7">
        <v>45898.5778587963</v>
      </c>
      <c r="K815" s="1" t="s">
        <v>24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60.0" customHeight="1">
      <c r="A816" s="1" t="s">
        <v>4132</v>
      </c>
      <c r="B816" s="1" t="s">
        <v>4133</v>
      </c>
      <c r="C816" s="2" t="s">
        <v>4134</v>
      </c>
      <c r="D816" s="5" t="str">
        <f>IMAGE("https://drive.google.com/uc?export=view&amp;id=12Pv9SeDQ9hdTErLxS0KLU91-J_1TjFBd",2)</f>
        <v/>
      </c>
      <c r="E816" s="5" t="str">
        <f>IMAGE("https://drive.google.com/uc?export=view&amp;id=12Pv9SeDQ9hdTErLxS0KLU91-J_1TjFBd",1)</f>
        <v/>
      </c>
      <c r="F816" s="6" t="s">
        <v>4135</v>
      </c>
      <c r="G816" s="6" t="s">
        <v>4136</v>
      </c>
      <c r="H816" s="1" t="s">
        <v>353</v>
      </c>
      <c r="I816" s="7">
        <v>45889.773123437495</v>
      </c>
      <c r="J816" s="7">
        <v>45889.773553437495</v>
      </c>
      <c r="K816" s="1" t="s">
        <v>354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60.0" customHeight="1">
      <c r="A817" s="1" t="s">
        <v>4137</v>
      </c>
      <c r="B817" s="1" t="s">
        <v>4138</v>
      </c>
      <c r="C817" s="2" t="s">
        <v>4139</v>
      </c>
      <c r="D817" s="5" t="str">
        <f>IMAGE("https://drive.google.com/uc?export=view&amp;id=1_KSsMKG8TZZ3FkHJsFpGLC5QaqA5Uqby",2)</f>
        <v/>
      </c>
      <c r="E817" s="5" t="str">
        <f>IMAGE("https://drive.google.com/uc?export=view&amp;id=1_KSsMKG8TZZ3FkHJsFpGLC5QaqA5Uqby",1)</f>
        <v/>
      </c>
      <c r="F817" s="6" t="s">
        <v>4140</v>
      </c>
      <c r="G817" s="6" t="s">
        <v>4141</v>
      </c>
      <c r="H817" s="1" t="s">
        <v>2059</v>
      </c>
      <c r="I817" s="7">
        <v>46017.52695184028</v>
      </c>
      <c r="J817" s="7">
        <v>46013.40824074074</v>
      </c>
      <c r="K817" s="1" t="s">
        <v>2060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60.0" customHeight="1">
      <c r="A818" s="1" t="s">
        <v>4142</v>
      </c>
      <c r="B818" s="1" t="s">
        <v>4143</v>
      </c>
      <c r="C818" s="2" t="s">
        <v>4144</v>
      </c>
      <c r="D818" s="5" t="str">
        <f>IMAGE("https://drive.google.com/uc?export=view&amp;id=1gT4qM2-taXizp-6-mUcIa5-2CzapZe8F",2)</f>
        <v/>
      </c>
      <c r="E818" s="5" t="str">
        <f>IMAGE("https://drive.google.com/uc?export=view&amp;id=1gT4qM2-taXizp-6-mUcIa5-2CzapZe8F",1)</f>
        <v/>
      </c>
      <c r="F818" s="6" t="s">
        <v>4145</v>
      </c>
      <c r="G818" s="6" t="s">
        <v>4146</v>
      </c>
      <c r="H818" s="1" t="s">
        <v>2059</v>
      </c>
      <c r="I818" s="7">
        <v>46017.52780872685</v>
      </c>
      <c r="J818" s="7">
        <v>46012.87563657407</v>
      </c>
      <c r="K818" s="1" t="s">
        <v>2060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60.0" customHeight="1">
      <c r="A819" s="1" t="s">
        <v>4147</v>
      </c>
      <c r="B819" s="1" t="s">
        <v>4148</v>
      </c>
      <c r="C819" s="2" t="s">
        <v>4149</v>
      </c>
      <c r="D819" s="5" t="str">
        <f>IMAGE("https://drive.google.com/uc?export=view&amp;id=1igdCU_K7XVpZ6p-YuKOHgNVaoY3t90jl",2)</f>
        <v/>
      </c>
      <c r="E819" s="5" t="str">
        <f>IMAGE("https://drive.google.com/uc?export=view&amp;id=1igdCU_K7XVpZ6p-YuKOHgNVaoY3t90jl",1)</f>
        <v/>
      </c>
      <c r="F819" s="6" t="s">
        <v>4150</v>
      </c>
      <c r="G819" s="6" t="s">
        <v>4151</v>
      </c>
      <c r="H819" s="1" t="s">
        <v>2059</v>
      </c>
      <c r="I819" s="7">
        <v>46017.52795121528</v>
      </c>
      <c r="J819" s="7">
        <v>46012.87428240741</v>
      </c>
      <c r="K819" s="1" t="s">
        <v>2060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60.0" customHeight="1">
      <c r="A820" s="1" t="s">
        <v>4152</v>
      </c>
      <c r="B820" s="1" t="s">
        <v>4153</v>
      </c>
      <c r="C820" s="2" t="s">
        <v>4154</v>
      </c>
      <c r="D820" s="5" t="str">
        <f>IMAGE("https://drive.google.com/uc?export=view&amp;id=1NhMXvC_tWt5EJj9JW9womCH_50Q4sFZq",2)</f>
        <v/>
      </c>
      <c r="E820" s="5" t="str">
        <f>IMAGE("https://drive.google.com/uc?export=view&amp;id=1NhMXvC_tWt5EJj9JW9womCH_50Q4sFZq",1)</f>
        <v/>
      </c>
      <c r="F820" s="6" t="s">
        <v>4155</v>
      </c>
      <c r="G820" s="6" t="s">
        <v>4156</v>
      </c>
      <c r="H820" s="1" t="s">
        <v>2059</v>
      </c>
      <c r="I820" s="7">
        <v>46017.52709686343</v>
      </c>
      <c r="J820" s="7">
        <v>46012.87086805556</v>
      </c>
      <c r="K820" s="1" t="s">
        <v>2060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60.0" customHeight="1">
      <c r="A821" s="1" t="s">
        <v>4157</v>
      </c>
      <c r="B821" s="1" t="s">
        <v>4158</v>
      </c>
      <c r="C821" s="2" t="s">
        <v>4159</v>
      </c>
      <c r="D821" s="5" t="str">
        <f>IMAGE("https://drive.google.com/uc?export=view&amp;id=1UacGgMw1gWaxsUz8C6C_hAYBLI_ZJ4I0",2)</f>
        <v/>
      </c>
      <c r="E821" s="5" t="str">
        <f>IMAGE("https://drive.google.com/uc?export=view&amp;id=1UacGgMw1gWaxsUz8C6C_hAYBLI_ZJ4I0",1)</f>
        <v/>
      </c>
      <c r="F821" s="6" t="s">
        <v>4160</v>
      </c>
      <c r="G821" s="6" t="s">
        <v>4161</v>
      </c>
      <c r="H821" s="1" t="s">
        <v>2059</v>
      </c>
      <c r="I821" s="7">
        <v>46017.52723553241</v>
      </c>
      <c r="J821" s="7">
        <v>46013.41855324074</v>
      </c>
      <c r="K821" s="1" t="s">
        <v>2060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60.0" customHeight="1">
      <c r="A822" s="1" t="s">
        <v>4162</v>
      </c>
      <c r="B822" s="1" t="s">
        <v>4163</v>
      </c>
      <c r="C822" s="2" t="s">
        <v>4164</v>
      </c>
      <c r="D822" s="5" t="str">
        <f>IMAGE("https://drive.google.com/uc?export=view&amp;id=1cRo3m6os6eaLllhffr6-1fqqZCQsRECf",2)</f>
        <v/>
      </c>
      <c r="E822" s="5" t="str">
        <f>IMAGE("https://drive.google.com/uc?export=view&amp;id=1cRo3m6os6eaLllhffr6-1fqqZCQsRECf",1)</f>
        <v/>
      </c>
      <c r="F822" s="6" t="s">
        <v>4165</v>
      </c>
      <c r="G822" s="6" t="s">
        <v>4166</v>
      </c>
      <c r="H822" s="1" t="s">
        <v>2059</v>
      </c>
      <c r="I822" s="7">
        <v>46017.527384444445</v>
      </c>
      <c r="J822" s="7">
        <v>46013.432488425926</v>
      </c>
      <c r="K822" s="1" t="s">
        <v>2060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60.0" customHeight="1">
      <c r="A823" s="1" t="s">
        <v>4167</v>
      </c>
      <c r="B823" s="1" t="s">
        <v>4168</v>
      </c>
      <c r="C823" s="2" t="s">
        <v>4169</v>
      </c>
      <c r="D823" s="5" t="str">
        <f>IMAGE("https://drive.google.com/uc?export=view&amp;id=1-Od5CVeeaNwNpL4OB7ZMCFwNSi59Awb-",2)</f>
        <v/>
      </c>
      <c r="E823" s="5" t="str">
        <f>IMAGE("https://drive.google.com/uc?export=view&amp;id=1-Od5CVeeaNwNpL4OB7ZMCFwNSi59Awb-",1)</f>
        <v/>
      </c>
      <c r="F823" s="6" t="s">
        <v>4170</v>
      </c>
      <c r="G823" s="6" t="s">
        <v>4171</v>
      </c>
      <c r="H823" s="1" t="s">
        <v>2059</v>
      </c>
      <c r="I823" s="7">
        <v>46017.52751429398</v>
      </c>
      <c r="J823" s="7">
        <v>46012.96613425926</v>
      </c>
      <c r="K823" s="1" t="s">
        <v>2060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60.0" customHeight="1">
      <c r="A824" s="1" t="s">
        <v>4172</v>
      </c>
      <c r="B824" s="1" t="s">
        <v>2059</v>
      </c>
      <c r="C824" s="2" t="s">
        <v>4173</v>
      </c>
      <c r="D824" s="5" t="str">
        <f>IMAGE("https://drive.google.com/uc?export=view&amp;id=1QlU0x6UhH4QSctT3qgkTdzNomQKhAYcN",2)</f>
        <v/>
      </c>
      <c r="E824" s="5" t="str">
        <f>IMAGE("https://drive.google.com/uc?export=view&amp;id=1QlU0x6UhH4QSctT3qgkTdzNomQKhAYcN",1)</f>
        <v/>
      </c>
      <c r="F824" s="6" t="s">
        <v>4174</v>
      </c>
      <c r="G824" s="6" t="s">
        <v>4175</v>
      </c>
      <c r="H824" s="1" t="s">
        <v>30</v>
      </c>
      <c r="I824" s="7">
        <v>45897.45696480324</v>
      </c>
      <c r="J824" s="7">
        <v>45913.55358028935</v>
      </c>
      <c r="K824" s="1" t="s">
        <v>31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60.0" customHeight="1">
      <c r="A825" s="1" t="s">
        <v>4176</v>
      </c>
      <c r="B825" s="1" t="s">
        <v>4177</v>
      </c>
      <c r="C825" s="2" t="s">
        <v>4178</v>
      </c>
      <c r="D825" s="5" t="str">
        <f>IMAGE("https://drive.google.com/uc?export=view&amp;id=18Ajfjz0zFHOucgrN-kmjCyQDjtiRvSxB",2)</f>
        <v/>
      </c>
      <c r="E825" s="5" t="str">
        <f>IMAGE("https://drive.google.com/uc?export=view&amp;id=18Ajfjz0zFHOucgrN-kmjCyQDjtiRvSxB",1)</f>
        <v/>
      </c>
      <c r="F825" s="6" t="s">
        <v>4179</v>
      </c>
      <c r="G825" s="6" t="s">
        <v>4180</v>
      </c>
      <c r="H825" s="1" t="s">
        <v>4181</v>
      </c>
      <c r="I825" s="7">
        <v>46074.824962708335</v>
      </c>
      <c r="J825" s="7">
        <v>46074.65361111111</v>
      </c>
      <c r="K825" s="1" t="s">
        <v>4182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60.0" customHeight="1">
      <c r="A826" s="1" t="s">
        <v>4183</v>
      </c>
      <c r="B826" s="1" t="s">
        <v>4184</v>
      </c>
      <c r="C826" s="2" t="s">
        <v>4185</v>
      </c>
      <c r="D826" s="5" t="str">
        <f>IMAGE("https://drive.google.com/uc?export=view&amp;id=13kfWxu66k7PJFDBbXT13uTV8unLMRvQQ",2)</f>
        <v/>
      </c>
      <c r="E826" s="5" t="str">
        <f>IMAGE("https://drive.google.com/uc?export=view&amp;id=13kfWxu66k7PJFDBbXT13uTV8unLMRvQQ",1)</f>
        <v/>
      </c>
      <c r="F826" s="6" t="s">
        <v>4186</v>
      </c>
      <c r="G826" s="6" t="s">
        <v>4187</v>
      </c>
      <c r="H826" s="1" t="s">
        <v>1682</v>
      </c>
      <c r="I826" s="7">
        <v>45933.65199827546</v>
      </c>
      <c r="J826" s="7">
        <v>45933.65205549769</v>
      </c>
      <c r="K826" s="1" t="s">
        <v>1683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60.0" customHeight="1">
      <c r="A827" s="1" t="s">
        <v>4188</v>
      </c>
      <c r="B827" s="1" t="s">
        <v>4189</v>
      </c>
      <c r="C827" s="2" t="s">
        <v>4190</v>
      </c>
      <c r="D827" s="5" t="str">
        <f>IMAGE("https://drive.google.com/uc?export=view&amp;id=1j5FkVuDKQsfxEiHJUnxJUqiNO2YE3C49",2)</f>
        <v/>
      </c>
      <c r="E827" s="5" t="str">
        <f>IMAGE("https://drive.google.com/uc?export=view&amp;id=1j5FkVuDKQsfxEiHJUnxJUqiNO2YE3C49",1)</f>
        <v/>
      </c>
      <c r="F827" s="6" t="s">
        <v>4191</v>
      </c>
      <c r="G827" s="6" t="s">
        <v>4192</v>
      </c>
      <c r="H827" s="1" t="s">
        <v>4181</v>
      </c>
      <c r="I827" s="7">
        <v>46079.48586151621</v>
      </c>
      <c r="J827" s="7">
        <v>46079.477106481485</v>
      </c>
      <c r="K827" s="1" t="s">
        <v>4182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60.0" customHeight="1">
      <c r="A828" s="1" t="s">
        <v>4193</v>
      </c>
      <c r="B828" s="1" t="s">
        <v>4194</v>
      </c>
      <c r="C828" s="2" t="s">
        <v>4195</v>
      </c>
      <c r="D828" s="5" t="str">
        <f>IMAGE("https://drive.google.com/uc?export=view&amp;id=1BPZspVKYq003F7-aHNTiCmZhi8XciN4S",2)</f>
        <v/>
      </c>
      <c r="E828" s="5" t="str">
        <f>IMAGE("https://drive.google.com/uc?export=view&amp;id=1BPZspVKYq003F7-aHNTiCmZhi8XciN4S",1)</f>
        <v/>
      </c>
      <c r="F828" s="6" t="s">
        <v>4196</v>
      </c>
      <c r="G828" s="6" t="s">
        <v>4197</v>
      </c>
      <c r="H828" s="1" t="s">
        <v>4181</v>
      </c>
      <c r="I828" s="7">
        <v>46074.824529432866</v>
      </c>
      <c r="J828" s="7">
        <v>46074.684166666666</v>
      </c>
      <c r="K828" s="1" t="s">
        <v>4182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60.0" customHeight="1">
      <c r="A829" s="1" t="s">
        <v>4198</v>
      </c>
      <c r="B829" s="1" t="s">
        <v>4199</v>
      </c>
      <c r="C829" s="2" t="s">
        <v>4200</v>
      </c>
      <c r="D829" s="5" t="str">
        <f>IMAGE("https://drive.google.com/uc?export=view&amp;id=1XqN62yd0Yo26imYZXm9ieg900VU-pcNy",2)</f>
        <v/>
      </c>
      <c r="E829" s="5" t="str">
        <f>IMAGE("https://drive.google.com/uc?export=view&amp;id=1XqN62yd0Yo26imYZXm9ieg900VU-pcNy",1)</f>
        <v/>
      </c>
      <c r="F829" s="6" t="s">
        <v>4201</v>
      </c>
      <c r="G829" s="6" t="s">
        <v>4202</v>
      </c>
      <c r="H829" s="1" t="s">
        <v>4181</v>
      </c>
      <c r="I829" s="7">
        <v>46074.825175300924</v>
      </c>
      <c r="J829" s="7">
        <v>46074.615173611106</v>
      </c>
      <c r="K829" s="1" t="s">
        <v>4182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60.0" customHeight="1">
      <c r="A830" s="1" t="s">
        <v>4203</v>
      </c>
      <c r="B830" s="1" t="s">
        <v>4204</v>
      </c>
      <c r="C830" s="2" t="s">
        <v>4205</v>
      </c>
      <c r="D830" s="5" t="str">
        <f>IMAGE("https://drive.google.com/uc?export=view&amp;id=1VBtEDGK2ySFAEDiWVB1RV4nOED_Wd8MW",2)</f>
        <v/>
      </c>
      <c r="E830" s="5" t="str">
        <f>IMAGE("https://drive.google.com/uc?export=view&amp;id=1VBtEDGK2ySFAEDiWVB1RV4nOED_Wd8MW",1)</f>
        <v/>
      </c>
      <c r="F830" s="6" t="s">
        <v>4206</v>
      </c>
      <c r="G830" s="6" t="s">
        <v>4207</v>
      </c>
      <c r="H830" s="1" t="s">
        <v>135</v>
      </c>
      <c r="I830" s="7">
        <v>46059.93855314815</v>
      </c>
      <c r="J830" s="7">
        <v>46059.97601050926</v>
      </c>
      <c r="K830" s="1" t="s">
        <v>136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60.0" customHeight="1">
      <c r="A831" s="1" t="s">
        <v>4208</v>
      </c>
      <c r="B831" s="1" t="s">
        <v>4209</v>
      </c>
      <c r="C831" s="2" t="s">
        <v>4210</v>
      </c>
      <c r="D831" s="5" t="str">
        <f>IMAGE("https://drive.google.com/uc?export=view&amp;id=1BOwrHhGnAvtfDCickEU800Tc1pzFcylo",2)</f>
        <v/>
      </c>
      <c r="E831" s="5" t="str">
        <f>IMAGE("https://drive.google.com/uc?export=view&amp;id=1BOwrHhGnAvtfDCickEU800Tc1pzFcylo",1)</f>
        <v/>
      </c>
      <c r="F831" s="6" t="s">
        <v>4211</v>
      </c>
      <c r="G831" s="6" t="s">
        <v>4212</v>
      </c>
      <c r="H831" s="1" t="s">
        <v>4181</v>
      </c>
      <c r="I831" s="7">
        <v>46074.82474471065</v>
      </c>
      <c r="J831" s="7">
        <v>46074.71797453704</v>
      </c>
      <c r="K831" s="1" t="s">
        <v>4182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60.0" customHeight="1">
      <c r="A832" s="1" t="s">
        <v>4213</v>
      </c>
      <c r="B832" s="1" t="s">
        <v>4214</v>
      </c>
      <c r="C832" s="2" t="s">
        <v>4215</v>
      </c>
      <c r="D832" s="5" t="str">
        <f>IMAGE("https://drive.google.com/uc?export=view&amp;id=1J6uXzluAM-0R9lbtQmcnC8uNugF6EtTh",2)</f>
        <v/>
      </c>
      <c r="E832" s="5" t="str">
        <f>IMAGE("https://drive.google.com/uc?export=view&amp;id=1J6uXzluAM-0R9lbtQmcnC8uNugF6EtTh",1)</f>
        <v/>
      </c>
      <c r="F832" s="6" t="s">
        <v>4216</v>
      </c>
      <c r="G832" s="6" t="s">
        <v>4217</v>
      </c>
      <c r="H832" s="1" t="s">
        <v>135</v>
      </c>
      <c r="I832" s="7">
        <v>46059.94460482639</v>
      </c>
      <c r="J832" s="7">
        <v>46059.97589234954</v>
      </c>
      <c r="K832" s="1" t="s">
        <v>136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60.0" customHeight="1">
      <c r="A833" s="1" t="s">
        <v>4218</v>
      </c>
      <c r="B833" s="1" t="s">
        <v>4219</v>
      </c>
      <c r="C833" s="2" t="s">
        <v>4220</v>
      </c>
      <c r="D833" s="5" t="str">
        <f>IMAGE("https://drive.google.com/uc?export=view&amp;id=1ydiAYx5Jjz1JGWiInikgJHS7rAOsu9nI",2)</f>
        <v/>
      </c>
      <c r="E833" s="5" t="str">
        <f>IMAGE("https://drive.google.com/uc?export=view&amp;id=1ydiAYx5Jjz1JGWiInikgJHS7rAOsu9nI",1)</f>
        <v/>
      </c>
      <c r="F833" s="6" t="s">
        <v>4221</v>
      </c>
      <c r="G833" s="6" t="s">
        <v>4222</v>
      </c>
      <c r="H833" s="1" t="s">
        <v>30</v>
      </c>
      <c r="I833" s="7">
        <v>45913.547176921296</v>
      </c>
      <c r="J833" s="7">
        <v>45908.415879629625</v>
      </c>
      <c r="K833" s="1" t="s">
        <v>31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60.0" customHeight="1">
      <c r="A834" s="1" t="s">
        <v>4223</v>
      </c>
      <c r="B834" s="1" t="s">
        <v>4224</v>
      </c>
      <c r="C834" s="2" t="s">
        <v>4225</v>
      </c>
      <c r="D834" s="5" t="str">
        <f>IMAGE("https://drive.google.com/uc?export=view&amp;id=1CLN7Gtwtxai8AJ2mftHeLqvFz96Haztd",2)</f>
        <v/>
      </c>
      <c r="E834" s="5" t="str">
        <f>IMAGE("https://drive.google.com/uc?export=view&amp;id=1CLN7Gtwtxai8AJ2mftHeLqvFz96Haztd",1)</f>
        <v/>
      </c>
      <c r="F834" s="6" t="s">
        <v>4226</v>
      </c>
      <c r="G834" s="6" t="s">
        <v>4227</v>
      </c>
      <c r="H834" s="1" t="s">
        <v>114</v>
      </c>
      <c r="I834" s="7">
        <v>45828.54296826389</v>
      </c>
      <c r="J834" s="7">
        <v>45860.69149327546</v>
      </c>
      <c r="K834" s="1" t="s">
        <v>115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60.0" customHeight="1">
      <c r="A835" s="1" t="s">
        <v>4228</v>
      </c>
      <c r="B835" s="1" t="s">
        <v>4229</v>
      </c>
      <c r="C835" s="2" t="s">
        <v>4230</v>
      </c>
      <c r="D835" s="5" t="str">
        <f>IMAGE("https://drive.google.com/uc?export=view&amp;id=1FrzCSDuIPg5mh7dT4Eb3k6FK1TyBDKMg",2)</f>
        <v/>
      </c>
      <c r="E835" s="5" t="str">
        <f>IMAGE("https://drive.google.com/uc?export=view&amp;id=1FrzCSDuIPg5mh7dT4Eb3k6FK1TyBDKMg",1)</f>
        <v/>
      </c>
      <c r="F835" s="6" t="s">
        <v>4231</v>
      </c>
      <c r="G835" s="6" t="s">
        <v>4232</v>
      </c>
      <c r="H835" s="1" t="s">
        <v>449</v>
      </c>
      <c r="I835" s="7">
        <v>46009.497257372685</v>
      </c>
      <c r="J835" s="7">
        <v>46009.49516203704</v>
      </c>
      <c r="K835" s="1" t="s">
        <v>450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60.0" customHeight="1">
      <c r="A836" s="1" t="s">
        <v>4233</v>
      </c>
      <c r="B836" s="1" t="s">
        <v>4234</v>
      </c>
      <c r="C836" s="2" t="s">
        <v>4235</v>
      </c>
      <c r="D836" s="5" t="str">
        <f>IMAGE("https://drive.google.com/uc?export=view&amp;id=17_SSbyCdDVEKrdD-NDrXuL001XoHU1Db",2)</f>
        <v/>
      </c>
      <c r="E836" s="5" t="str">
        <f>IMAGE("https://drive.google.com/uc?export=view&amp;id=17_SSbyCdDVEKrdD-NDrXuL001XoHU1Db",1)</f>
        <v/>
      </c>
      <c r="F836" s="6" t="s">
        <v>4236</v>
      </c>
      <c r="G836" s="6" t="s">
        <v>4237</v>
      </c>
      <c r="H836" s="1" t="s">
        <v>92</v>
      </c>
      <c r="I836" s="7">
        <v>46005.84945300926</v>
      </c>
      <c r="J836" s="7">
        <v>46005.847280092596</v>
      </c>
      <c r="K836" s="1" t="s">
        <v>93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60.0" customHeight="1">
      <c r="A837" s="1" t="s">
        <v>4238</v>
      </c>
      <c r="B837" s="1" t="s">
        <v>4239</v>
      </c>
      <c r="C837" s="2" t="s">
        <v>4240</v>
      </c>
      <c r="D837" s="5" t="str">
        <f>IMAGE("https://drive.google.com/uc?export=view&amp;id=1JItrs5wbEe62OvPElT6g5sCKKgFagbJp",2)</f>
        <v/>
      </c>
      <c r="E837" s="5" t="str">
        <f>IMAGE("https://drive.google.com/uc?export=view&amp;id=1JItrs5wbEe62OvPElT6g5sCKKgFagbJp",1)</f>
        <v/>
      </c>
      <c r="F837" s="6" t="s">
        <v>4241</v>
      </c>
      <c r="G837" s="6" t="s">
        <v>4242</v>
      </c>
      <c r="H837" s="1" t="s">
        <v>92</v>
      </c>
      <c r="I837" s="7">
        <v>46009.46976775463</v>
      </c>
      <c r="J837" s="7">
        <v>46009.469293981485</v>
      </c>
      <c r="K837" s="1" t="s">
        <v>93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60.0" customHeight="1">
      <c r="A838" s="1" t="s">
        <v>4243</v>
      </c>
      <c r="B838" s="1" t="s">
        <v>4244</v>
      </c>
      <c r="C838" s="2" t="s">
        <v>4245</v>
      </c>
      <c r="D838" s="5" t="str">
        <f>IMAGE("https://drive.google.com/uc?export=view&amp;id=144IgtItFM9w2zWdLmi-10vZXf3fVu7Lb",2)</f>
        <v/>
      </c>
      <c r="E838" s="5" t="str">
        <f>IMAGE("https://drive.google.com/uc?export=view&amp;id=144IgtItFM9w2zWdLmi-10vZXf3fVu7Lb",1)</f>
        <v/>
      </c>
      <c r="F838" s="6" t="s">
        <v>4246</v>
      </c>
      <c r="G838" s="6" t="s">
        <v>4247</v>
      </c>
      <c r="H838" s="1" t="s">
        <v>16</v>
      </c>
      <c r="I838" s="7">
        <v>45869.52502898149</v>
      </c>
      <c r="J838" s="7">
        <v>45869.52513333333</v>
      </c>
      <c r="K838" s="1" t="s">
        <v>57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60.0" customHeight="1">
      <c r="A839" s="1" t="s">
        <v>4248</v>
      </c>
      <c r="B839" s="1" t="s">
        <v>4249</v>
      </c>
      <c r="C839" s="2" t="s">
        <v>4250</v>
      </c>
      <c r="D839" s="5" t="str">
        <f>IMAGE("https://drive.google.com/uc?export=view&amp;id=1_ZeTiiIyknD25iX1d3fEWxWPRnEovhoo",2)</f>
        <v/>
      </c>
      <c r="E839" s="5" t="str">
        <f>IMAGE("https://drive.google.com/uc?export=view&amp;id=1_ZeTiiIyknD25iX1d3fEWxWPRnEovhoo",1)</f>
        <v/>
      </c>
      <c r="F839" s="6" t="s">
        <v>4251</v>
      </c>
      <c r="G839" s="6" t="s">
        <v>4252</v>
      </c>
      <c r="H839" s="1" t="s">
        <v>16</v>
      </c>
      <c r="I839" s="7">
        <v>45933.61507076389</v>
      </c>
      <c r="J839" s="7">
        <v>45933.61518797454</v>
      </c>
      <c r="K839" s="1" t="s">
        <v>57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60.0" customHeight="1">
      <c r="A840" s="1" t="s">
        <v>4253</v>
      </c>
      <c r="B840" s="1" t="s">
        <v>4254</v>
      </c>
      <c r="C840" s="2" t="s">
        <v>4255</v>
      </c>
      <c r="D840" s="5" t="str">
        <f>IMAGE("https://drive.google.com/uc?export=view&amp;id=1cAvapjhOKhRLRaVu5K-euhS89z6q5KeB",2)</f>
        <v/>
      </c>
      <c r="E840" s="5" t="str">
        <f>IMAGE("https://drive.google.com/uc?export=view&amp;id=1cAvapjhOKhRLRaVu5K-euhS89z6q5KeB",1)</f>
        <v/>
      </c>
      <c r="F840" s="6" t="s">
        <v>4256</v>
      </c>
      <c r="G840" s="6" t="s">
        <v>4257</v>
      </c>
      <c r="H840" s="1" t="s">
        <v>427</v>
      </c>
      <c r="I840" s="7">
        <v>46069.91668246528</v>
      </c>
      <c r="J840" s="7">
        <v>46068.73061342593</v>
      </c>
      <c r="K840" s="1" t="s">
        <v>428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60.0" customHeight="1">
      <c r="A841" s="1" t="s">
        <v>4258</v>
      </c>
      <c r="B841" s="1" t="s">
        <v>4259</v>
      </c>
      <c r="C841" s="2" t="s">
        <v>4260</v>
      </c>
      <c r="D841" s="5" t="str">
        <f>IMAGE("https://drive.google.com/uc?export=view&amp;id=175OmnED6Y0zMsGVLfLiRaxKj3e57iJBX",2)</f>
        <v/>
      </c>
      <c r="E841" s="5" t="str">
        <f>IMAGE("https://drive.google.com/uc?export=view&amp;id=175OmnED6Y0zMsGVLfLiRaxKj3e57iJBX",1)</f>
        <v/>
      </c>
      <c r="F841" s="6" t="s">
        <v>4261</v>
      </c>
      <c r="G841" s="6" t="s">
        <v>4262</v>
      </c>
      <c r="H841" s="1" t="s">
        <v>820</v>
      </c>
      <c r="I841" s="7">
        <v>46017.51761671296</v>
      </c>
      <c r="J841" s="7">
        <v>46012.73027777778</v>
      </c>
      <c r="K841" s="1" t="s">
        <v>821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60.0" customHeight="1">
      <c r="A842" s="1" t="s">
        <v>4263</v>
      </c>
      <c r="B842" s="1" t="s">
        <v>4264</v>
      </c>
      <c r="C842" s="2" t="s">
        <v>4265</v>
      </c>
      <c r="D842" s="5" t="str">
        <f>IMAGE("https://drive.google.com/uc?export=view&amp;id=19G-cA1yRMXCM8H0aapc-z-dlEMaJieRd",2)</f>
        <v/>
      </c>
      <c r="E842" s="5" t="str">
        <f>IMAGE("https://drive.google.com/uc?export=view&amp;id=19G-cA1yRMXCM8H0aapc-z-dlEMaJieRd",1)</f>
        <v/>
      </c>
      <c r="F842" s="6" t="s">
        <v>4266</v>
      </c>
      <c r="G842" s="6" t="s">
        <v>4267</v>
      </c>
      <c r="H842" s="1" t="s">
        <v>70</v>
      </c>
      <c r="I842" s="7">
        <v>46048.69143207176</v>
      </c>
      <c r="J842" s="7">
        <v>46049.64379215278</v>
      </c>
      <c r="K842" s="1" t="s">
        <v>71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60.0" customHeight="1">
      <c r="A843" s="1" t="s">
        <v>4268</v>
      </c>
      <c r="B843" s="1" t="s">
        <v>4269</v>
      </c>
      <c r="C843" s="2" t="s">
        <v>4270</v>
      </c>
      <c r="D843" s="5" t="str">
        <f>IMAGE("https://drive.google.com/uc?export=view&amp;id=1726GUvlnCKG_rbY1YilXpAVl0XMwsxT6",2)</f>
        <v/>
      </c>
      <c r="E843" s="5" t="str">
        <f>IMAGE("https://drive.google.com/uc?export=view&amp;id=1726GUvlnCKG_rbY1YilXpAVl0XMwsxT6",1)</f>
        <v/>
      </c>
      <c r="F843" s="6" t="s">
        <v>4271</v>
      </c>
      <c r="G843" s="6" t="s">
        <v>4272</v>
      </c>
      <c r="H843" s="1" t="s">
        <v>173</v>
      </c>
      <c r="I843" s="7">
        <v>45828.552766759254</v>
      </c>
      <c r="J843" s="7">
        <v>45860.70816896991</v>
      </c>
      <c r="K843" s="1" t="s">
        <v>246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60.0" customHeight="1">
      <c r="A844" s="1" t="s">
        <v>4273</v>
      </c>
      <c r="B844" s="1" t="s">
        <v>4274</v>
      </c>
      <c r="C844" s="2" t="s">
        <v>4275</v>
      </c>
      <c r="D844" s="5" t="str">
        <f>IMAGE("https://drive.google.com/uc?export=view&amp;id=1obQfPuFOsMUYh4SrrzOw1ckDcb4aGVIY",2)</f>
        <v/>
      </c>
      <c r="E844" s="5" t="str">
        <f>IMAGE("https://drive.google.com/uc?export=view&amp;id=1obQfPuFOsMUYh4SrrzOw1ckDcb4aGVIY",1)</f>
        <v/>
      </c>
      <c r="F844" s="6" t="s">
        <v>4276</v>
      </c>
      <c r="G844" s="6" t="s">
        <v>4277</v>
      </c>
      <c r="H844" s="1" t="s">
        <v>128</v>
      </c>
      <c r="I844" s="7">
        <v>45792.402299016205</v>
      </c>
      <c r="J844" s="7">
        <v>45857.06303399305</v>
      </c>
      <c r="K844" s="1" t="s">
        <v>129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60.0" customHeight="1">
      <c r="A845" s="1" t="s">
        <v>4278</v>
      </c>
      <c r="B845" s="1" t="s">
        <v>4279</v>
      </c>
      <c r="C845" s="2" t="s">
        <v>4280</v>
      </c>
      <c r="D845" s="5" t="str">
        <f>IMAGE("https://drive.google.com/uc?export=view&amp;id=1qNdLHHbA1_2hGzABLn8Bs0zZTiV-NEdG",2)</f>
        <v/>
      </c>
      <c r="E845" s="5" t="str">
        <f>IMAGE("https://drive.google.com/uc?export=view&amp;id=1qNdLHHbA1_2hGzABLn8Bs0zZTiV-NEdG",1)</f>
        <v/>
      </c>
      <c r="F845" s="6" t="s">
        <v>4281</v>
      </c>
      <c r="G845" s="6" t="s">
        <v>4282</v>
      </c>
      <c r="H845" s="1" t="s">
        <v>646</v>
      </c>
      <c r="I845" s="7">
        <v>46068.72961546296</v>
      </c>
      <c r="J845" s="7">
        <v>46068.598125000004</v>
      </c>
      <c r="K845" s="1" t="s">
        <v>647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60.0" customHeight="1">
      <c r="A846" s="1" t="s">
        <v>4283</v>
      </c>
      <c r="B846" s="1" t="s">
        <v>4284</v>
      </c>
      <c r="C846" s="2" t="s">
        <v>4285</v>
      </c>
      <c r="D846" s="5" t="str">
        <f>IMAGE("https://drive.google.com/uc?export=view&amp;id=1EhkOUIPcQFFL16lCtQLq_gWMEfbQj3UX",2)</f>
        <v/>
      </c>
      <c r="E846" s="5" t="str">
        <f>IMAGE("https://drive.google.com/uc?export=view&amp;id=1EhkOUIPcQFFL16lCtQLq_gWMEfbQj3UX",1)</f>
        <v/>
      </c>
      <c r="F846" s="6" t="s">
        <v>4286</v>
      </c>
      <c r="G846" s="6" t="s">
        <v>4287</v>
      </c>
      <c r="H846" s="1" t="s">
        <v>646</v>
      </c>
      <c r="I846" s="7">
        <v>46068.729439745366</v>
      </c>
      <c r="J846" s="7">
        <v>46068.52800925926</v>
      </c>
      <c r="K846" s="1" t="s">
        <v>647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60.0" customHeight="1">
      <c r="A847" s="1" t="s">
        <v>4288</v>
      </c>
      <c r="B847" s="1" t="s">
        <v>4289</v>
      </c>
      <c r="C847" s="2" t="s">
        <v>4290</v>
      </c>
      <c r="D847" s="5" t="str">
        <f>IMAGE("https://drive.google.com/uc?export=view&amp;id=1ubRsMojiW5ZxeCLLWIDA73gs0jWW4_Aj",2)</f>
        <v/>
      </c>
      <c r="E847" s="5" t="str">
        <f>IMAGE("https://drive.google.com/uc?export=view&amp;id=1ubRsMojiW5ZxeCLLWIDA73gs0jWW4_Aj",1)</f>
        <v/>
      </c>
      <c r="F847" s="6" t="s">
        <v>4291</v>
      </c>
      <c r="G847" s="6" t="s">
        <v>4292</v>
      </c>
      <c r="H847" s="1" t="s">
        <v>16</v>
      </c>
      <c r="I847" s="7">
        <v>45887.50055060185</v>
      </c>
      <c r="J847" s="7">
        <v>45890.47119357639</v>
      </c>
      <c r="K847" s="1" t="s">
        <v>17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60.0" customHeight="1">
      <c r="A848" s="1" t="s">
        <v>4293</v>
      </c>
      <c r="B848" s="1" t="s">
        <v>4294</v>
      </c>
      <c r="C848" s="2" t="s">
        <v>4295</v>
      </c>
      <c r="D848" s="5" t="str">
        <f>IMAGE("https://drive.google.com/uc?export=view&amp;id=1Uyh_lWfqbEV3llXxUVpzQiSvFoFk4blG",2)</f>
        <v/>
      </c>
      <c r="E848" s="5" t="str">
        <f>IMAGE("https://drive.google.com/uc?export=view&amp;id=1Uyh_lWfqbEV3llXxUVpzQiSvFoFk4blG",1)</f>
        <v/>
      </c>
      <c r="F848" s="6" t="s">
        <v>4296</v>
      </c>
      <c r="G848" s="6" t="s">
        <v>4297</v>
      </c>
      <c r="H848" s="1" t="s">
        <v>23</v>
      </c>
      <c r="I848" s="7">
        <v>45898.583701111114</v>
      </c>
      <c r="J848" s="7">
        <v>45898.5778587963</v>
      </c>
      <c r="K848" s="1" t="s">
        <v>24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60.0" customHeight="1">
      <c r="A849" s="1" t="s">
        <v>4298</v>
      </c>
      <c r="B849" s="1" t="s">
        <v>4299</v>
      </c>
      <c r="C849" s="2" t="s">
        <v>4300</v>
      </c>
      <c r="D849" s="5" t="str">
        <f>IMAGE("https://drive.google.com/uc?export=view&amp;id=1xWXyuhtg88DX1V_kEkS3tnFXDbpWtIwy",2)</f>
        <v/>
      </c>
      <c r="E849" s="5" t="str">
        <f>IMAGE("https://drive.google.com/uc?export=view&amp;id=1xWXyuhtg88DX1V_kEkS3tnFXDbpWtIwy",1)</f>
        <v/>
      </c>
      <c r="F849" s="6" t="s">
        <v>4301</v>
      </c>
      <c r="G849" s="6" t="s">
        <v>4302</v>
      </c>
      <c r="H849" s="1" t="s">
        <v>70</v>
      </c>
      <c r="I849" s="7">
        <v>45888.77330765047</v>
      </c>
      <c r="J849" s="7">
        <v>45888.755578703705</v>
      </c>
      <c r="K849" s="1" t="s">
        <v>71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60.0" customHeight="1">
      <c r="A850" s="1" t="s">
        <v>4303</v>
      </c>
      <c r="B850" s="1" t="s">
        <v>4304</v>
      </c>
      <c r="C850" s="2" t="s">
        <v>4305</v>
      </c>
      <c r="D850" s="5" t="str">
        <f>IMAGE("https://drive.google.com/uc?export=view&amp;id=1zunggWwmX_0SGfBh97m1st1Yb9YK4RFa",2)</f>
        <v/>
      </c>
      <c r="E850" s="5" t="str">
        <f>IMAGE("https://drive.google.com/uc?export=view&amp;id=1zunggWwmX_0SGfBh97m1st1Yb9YK4RFa",1)</f>
        <v/>
      </c>
      <c r="F850" s="6" t="s">
        <v>4306</v>
      </c>
      <c r="G850" s="6" t="s">
        <v>4307</v>
      </c>
      <c r="H850" s="1" t="s">
        <v>92</v>
      </c>
      <c r="I850" s="7">
        <v>45841.52031412037</v>
      </c>
      <c r="J850" s="7">
        <v>45860.70833097222</v>
      </c>
      <c r="K850" s="1" t="s">
        <v>93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60.0" customHeight="1">
      <c r="A851" s="1" t="s">
        <v>4308</v>
      </c>
      <c r="B851" s="1" t="s">
        <v>4309</v>
      </c>
      <c r="C851" s="2" t="s">
        <v>4310</v>
      </c>
      <c r="D851" s="5" t="str">
        <f>IMAGE("https://drive.google.com/uc?export=view&amp;id=1PTaEDA9ihKSqMqC8hGiioJIRtSyb4Jc6",2)</f>
        <v/>
      </c>
      <c r="E851" s="5" t="str">
        <f>IMAGE("https://drive.google.com/uc?export=view&amp;id=1PTaEDA9ihKSqMqC8hGiioJIRtSyb4Jc6",1)</f>
        <v/>
      </c>
      <c r="F851" s="6" t="s">
        <v>4311</v>
      </c>
      <c r="G851" s="6" t="s">
        <v>4312</v>
      </c>
      <c r="H851" s="1" t="s">
        <v>92</v>
      </c>
      <c r="I851" s="7">
        <v>46006.48127240741</v>
      </c>
      <c r="J851" s="7">
        <v>46006.46534722223</v>
      </c>
      <c r="K851" s="1" t="s">
        <v>93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60.0" customHeight="1">
      <c r="A852" s="1" t="s">
        <v>4313</v>
      </c>
      <c r="B852" s="1" t="s">
        <v>4314</v>
      </c>
      <c r="C852" s="2" t="s">
        <v>4315</v>
      </c>
      <c r="D852" s="5" t="str">
        <f>IMAGE("https://drive.google.com/uc?export=view&amp;id=1ihmr1-AzMIGTE3st1Ed2oNisH2tmx8vO",2)</f>
        <v/>
      </c>
      <c r="E852" s="5" t="str">
        <f>IMAGE("https://drive.google.com/uc?export=view&amp;id=1ihmr1-AzMIGTE3st1Ed2oNisH2tmx8vO",1)</f>
        <v/>
      </c>
      <c r="F852" s="6" t="s">
        <v>4316</v>
      </c>
      <c r="G852" s="6" t="s">
        <v>4317</v>
      </c>
      <c r="H852" s="1" t="s">
        <v>92</v>
      </c>
      <c r="I852" s="7">
        <v>46007.28905358796</v>
      </c>
      <c r="J852" s="7">
        <v>46007.28734953704</v>
      </c>
      <c r="K852" s="1" t="s">
        <v>93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60.0" customHeight="1">
      <c r="A853" s="1" t="s">
        <v>4318</v>
      </c>
      <c r="B853" s="1" t="s">
        <v>4319</v>
      </c>
      <c r="C853" s="2" t="s">
        <v>4320</v>
      </c>
      <c r="D853" s="5" t="str">
        <f>IMAGE("https://drive.google.com/uc?export=view&amp;id=1OWRJcJ4OP33fdYk5V1_fMDVto1gEZo-P",2)</f>
        <v/>
      </c>
      <c r="E853" s="5" t="str">
        <f>IMAGE("https://drive.google.com/uc?export=view&amp;id=1OWRJcJ4OP33fdYk5V1_fMDVto1gEZo-P",1)</f>
        <v/>
      </c>
      <c r="F853" s="6" t="s">
        <v>4321</v>
      </c>
      <c r="G853" s="6" t="s">
        <v>4322</v>
      </c>
      <c r="H853" s="1" t="s">
        <v>92</v>
      </c>
      <c r="I853" s="7">
        <v>46006.48120711806</v>
      </c>
      <c r="J853" s="7">
        <v>46007.28879049768</v>
      </c>
      <c r="K853" s="1" t="s">
        <v>93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60.0" customHeight="1">
      <c r="A854" s="1" t="s">
        <v>4323</v>
      </c>
      <c r="B854" s="1" t="s">
        <v>4324</v>
      </c>
      <c r="C854" s="2" t="s">
        <v>4325</v>
      </c>
      <c r="D854" s="5" t="str">
        <f>IMAGE("https://drive.google.com/uc?export=view&amp;id=12fUTbnTJInlG-Gc3Hh5HYPzcH9MNGmRL",2)</f>
        <v/>
      </c>
      <c r="E854" s="5" t="str">
        <f>IMAGE("https://drive.google.com/uc?export=view&amp;id=12fUTbnTJInlG-Gc3Hh5HYPzcH9MNGmRL",1)</f>
        <v/>
      </c>
      <c r="F854" s="6" t="s">
        <v>4326</v>
      </c>
      <c r="G854" s="6" t="s">
        <v>4327</v>
      </c>
      <c r="H854" s="1" t="s">
        <v>92</v>
      </c>
      <c r="I854" s="7">
        <v>46007.28886912037</v>
      </c>
      <c r="J854" s="7">
        <v>46007.27862268519</v>
      </c>
      <c r="K854" s="1" t="s">
        <v>93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60.0" customHeight="1">
      <c r="A855" s="1" t="s">
        <v>4328</v>
      </c>
      <c r="B855" s="1" t="s">
        <v>4329</v>
      </c>
      <c r="C855" s="2" t="s">
        <v>4330</v>
      </c>
      <c r="D855" s="5" t="str">
        <f>IMAGE("https://drive.google.com/uc?export=view&amp;id=16uDvx_vwHEg8DCDH4dpMfAvWQ2hdzmsy",2)</f>
        <v/>
      </c>
      <c r="E855" s="5" t="str">
        <f>IMAGE("https://drive.google.com/uc?export=view&amp;id=16uDvx_vwHEg8DCDH4dpMfAvWQ2hdzmsy",1)</f>
        <v/>
      </c>
      <c r="F855" s="6" t="s">
        <v>4331</v>
      </c>
      <c r="G855" s="6" t="s">
        <v>4332</v>
      </c>
      <c r="H855" s="1" t="s">
        <v>820</v>
      </c>
      <c r="I855" s="7">
        <v>46017.519251736114</v>
      </c>
      <c r="J855" s="7">
        <v>46011.88006944444</v>
      </c>
      <c r="K855" s="1" t="s">
        <v>821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60.0" customHeight="1">
      <c r="A856" s="1" t="s">
        <v>4333</v>
      </c>
      <c r="B856" s="1" t="s">
        <v>4334</v>
      </c>
      <c r="C856" s="2" t="s">
        <v>4335</v>
      </c>
      <c r="D856" s="5" t="str">
        <f>IMAGE("https://drive.google.com/uc?export=view&amp;id=1s85VlQbZAgoNhYyVh92VbV7celNBiHL2",2)</f>
        <v/>
      </c>
      <c r="E856" s="5" t="str">
        <f>IMAGE("https://drive.google.com/uc?export=view&amp;id=1s85VlQbZAgoNhYyVh92VbV7celNBiHL2",1)</f>
        <v/>
      </c>
      <c r="F856" s="6" t="s">
        <v>4336</v>
      </c>
      <c r="G856" s="6" t="s">
        <v>4337</v>
      </c>
      <c r="H856" s="1" t="s">
        <v>16</v>
      </c>
      <c r="I856" s="7">
        <v>45869.45934502315</v>
      </c>
      <c r="J856" s="7">
        <v>45869.45972356481</v>
      </c>
      <c r="K856" s="1" t="s">
        <v>57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60.0" customHeight="1">
      <c r="A857" s="1" t="s">
        <v>4338</v>
      </c>
      <c r="B857" s="1" t="s">
        <v>4339</v>
      </c>
      <c r="C857" s="2" t="s">
        <v>4340</v>
      </c>
      <c r="D857" s="5" t="str">
        <f>IMAGE("https://drive.google.com/uc?export=view&amp;id=1RKjXNPKdaEXdpwUDQpJMTe28-MwRT20c",2)</f>
        <v/>
      </c>
      <c r="E857" s="5" t="str">
        <f>IMAGE("https://drive.google.com/uc?export=view&amp;id=1RKjXNPKdaEXdpwUDQpJMTe28-MwRT20c",1)</f>
        <v/>
      </c>
      <c r="F857" s="6" t="s">
        <v>4341</v>
      </c>
      <c r="G857" s="6" t="s">
        <v>4342</v>
      </c>
      <c r="H857" s="1" t="s">
        <v>16</v>
      </c>
      <c r="I857" s="7">
        <v>46049.6521787963</v>
      </c>
      <c r="J857" s="7">
        <v>46044.45140046296</v>
      </c>
      <c r="K857" s="1" t="s">
        <v>57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60.0" customHeight="1">
      <c r="A858" s="1" t="s">
        <v>4343</v>
      </c>
      <c r="B858" s="1" t="s">
        <v>4344</v>
      </c>
      <c r="C858" s="2" t="s">
        <v>4345</v>
      </c>
      <c r="D858" s="5" t="str">
        <f>IMAGE("https://drive.google.com/uc?export=view&amp;id=1ZtFl7gMG8waERj7HwbCj-kPF6tk2fhUV",2)</f>
        <v/>
      </c>
      <c r="E858" s="5" t="str">
        <f>IMAGE("https://drive.google.com/uc?export=view&amp;id=1ZtFl7gMG8waERj7HwbCj-kPF6tk2fhUV",1)</f>
        <v/>
      </c>
      <c r="F858" s="6" t="s">
        <v>4346</v>
      </c>
      <c r="G858" s="6" t="s">
        <v>4347</v>
      </c>
      <c r="H858" s="1" t="s">
        <v>16</v>
      </c>
      <c r="I858" s="7">
        <v>45872.783687523144</v>
      </c>
      <c r="J858" s="7">
        <v>45890.46655402778</v>
      </c>
      <c r="K858" s="1" t="s">
        <v>17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60.0" customHeight="1">
      <c r="A859" s="1" t="s">
        <v>4348</v>
      </c>
      <c r="B859" s="1" t="s">
        <v>4349</v>
      </c>
      <c r="C859" s="2" t="s">
        <v>4350</v>
      </c>
      <c r="D859" s="5" t="str">
        <f>IMAGE("https://drive.google.com/uc?export=view&amp;id=16wcAzVx_8xtcTaGSxP0xZLNaiqakKYcM",2)</f>
        <v/>
      </c>
      <c r="E859" s="5" t="str">
        <f>IMAGE("https://drive.google.com/uc?export=view&amp;id=16wcAzVx_8xtcTaGSxP0xZLNaiqakKYcM",1)</f>
        <v/>
      </c>
      <c r="F859" s="6" t="s">
        <v>4351</v>
      </c>
      <c r="G859" s="6" t="s">
        <v>4352</v>
      </c>
      <c r="H859" s="1" t="s">
        <v>23</v>
      </c>
      <c r="I859" s="7">
        <v>45898.58356990741</v>
      </c>
      <c r="J859" s="7">
        <v>45898.57787037037</v>
      </c>
      <c r="K859" s="1" t="s">
        <v>24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60.0" customHeight="1">
      <c r="A860" s="1" t="s">
        <v>4353</v>
      </c>
      <c r="B860" s="1" t="s">
        <v>4354</v>
      </c>
      <c r="C860" s="2" t="s">
        <v>4355</v>
      </c>
      <c r="D860" s="5" t="str">
        <f>IMAGE("https://drive.google.com/uc?export=view&amp;id=1EElDtnUWdYZhSxwVhzJX-q42mTeYCkLq",2)</f>
        <v/>
      </c>
      <c r="E860" s="5" t="str">
        <f>IMAGE("https://drive.google.com/uc?export=view&amp;id=1EElDtnUWdYZhSxwVhzJX-q42mTeYCkLq",1)</f>
        <v/>
      </c>
      <c r="F860" s="6" t="s">
        <v>4356</v>
      </c>
      <c r="G860" s="6" t="s">
        <v>4357</v>
      </c>
      <c r="H860" s="1" t="s">
        <v>353</v>
      </c>
      <c r="I860" s="7">
        <v>45828.552924131945</v>
      </c>
      <c r="J860" s="7">
        <v>45860.708498865744</v>
      </c>
      <c r="K860" s="1" t="s">
        <v>354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60.0" customHeight="1">
      <c r="A861" s="1" t="s">
        <v>4358</v>
      </c>
      <c r="B861" s="1" t="s">
        <v>4359</v>
      </c>
      <c r="C861" s="2" t="s">
        <v>4360</v>
      </c>
      <c r="D861" s="5" t="str">
        <f>IMAGE("https://drive.google.com/uc?export=view&amp;id=1ZnVqHDsEJeV2Lgwqf4c4F7WS0ky8CZqn",2)</f>
        <v/>
      </c>
      <c r="E861" s="5" t="str">
        <f>IMAGE("https://drive.google.com/uc?export=view&amp;id=1ZnVqHDsEJeV2Lgwqf4c4F7WS0ky8CZqn",1)</f>
        <v/>
      </c>
      <c r="F861" s="6" t="s">
        <v>4361</v>
      </c>
      <c r="G861" s="6" t="s">
        <v>4362</v>
      </c>
      <c r="H861" s="1" t="s">
        <v>353</v>
      </c>
      <c r="I861" s="7">
        <v>46005.6925805787</v>
      </c>
      <c r="J861" s="7">
        <v>46007.289641400464</v>
      </c>
      <c r="K861" s="1" t="s">
        <v>354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60.0" customHeight="1">
      <c r="A862" s="1" t="s">
        <v>4363</v>
      </c>
      <c r="B862" s="1" t="s">
        <v>4364</v>
      </c>
      <c r="C862" s="2" t="s">
        <v>4365</v>
      </c>
      <c r="D862" s="5" t="str">
        <f>IMAGE("https://drive.google.com/uc?export=view&amp;id=1fxIeeplJZa8Rg4l_VNbdgbNP6Tur9I08",2)</f>
        <v/>
      </c>
      <c r="E862" s="5" t="str">
        <f>IMAGE("https://drive.google.com/uc?export=view&amp;id=1fxIeeplJZa8Rg4l_VNbdgbNP6Tur9I08",1)</f>
        <v/>
      </c>
      <c r="F862" s="6" t="s">
        <v>4366</v>
      </c>
      <c r="G862" s="6" t="s">
        <v>4367</v>
      </c>
      <c r="H862" s="1" t="s">
        <v>353</v>
      </c>
      <c r="I862" s="7">
        <v>45828.55305166666</v>
      </c>
      <c r="J862" s="7">
        <v>45860.7086359838</v>
      </c>
      <c r="K862" s="1" t="s">
        <v>354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60.0" customHeight="1">
      <c r="A863" s="1" t="s">
        <v>4368</v>
      </c>
      <c r="B863" s="1" t="s">
        <v>4369</v>
      </c>
      <c r="C863" s="2" t="s">
        <v>4370</v>
      </c>
      <c r="D863" s="5" t="str">
        <f>IMAGE("https://drive.google.com/uc?export=view&amp;id=1Jz15dCWv7IApy-w0MZTiJWD6S8FUXBhI",2)</f>
        <v/>
      </c>
      <c r="E863" s="5" t="str">
        <f>IMAGE("https://drive.google.com/uc?export=view&amp;id=1Jz15dCWv7IApy-w0MZTiJWD6S8FUXBhI",1)</f>
        <v/>
      </c>
      <c r="F863" s="6" t="s">
        <v>4371</v>
      </c>
      <c r="G863" s="6" t="s">
        <v>4372</v>
      </c>
      <c r="H863" s="1" t="s">
        <v>353</v>
      </c>
      <c r="I863" s="7">
        <v>45828.553208287034</v>
      </c>
      <c r="J863" s="7">
        <v>45857.04463960648</v>
      </c>
      <c r="K863" s="1" t="s">
        <v>354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60.0" customHeight="1">
      <c r="A864" s="1" t="s">
        <v>4373</v>
      </c>
      <c r="B864" s="1" t="s">
        <v>4374</v>
      </c>
      <c r="C864" s="2" t="s">
        <v>4375</v>
      </c>
      <c r="D864" s="5" t="str">
        <f>IMAGE("https://drive.google.com/uc?export=view&amp;id=1bTPCEp4JsFJf1sNjq0fkq_8592ETyS8-",2)</f>
        <v/>
      </c>
      <c r="E864" s="5" t="str">
        <f>IMAGE("https://drive.google.com/uc?export=view&amp;id=1bTPCEp4JsFJf1sNjq0fkq_8592ETyS8-",1)</f>
        <v/>
      </c>
      <c r="F864" s="6" t="s">
        <v>4376</v>
      </c>
      <c r="G864" s="6" t="s">
        <v>4377</v>
      </c>
      <c r="H864" s="1" t="s">
        <v>353</v>
      </c>
      <c r="I864" s="7">
        <v>46005.66667111111</v>
      </c>
      <c r="J864" s="7">
        <v>46007.28982024305</v>
      </c>
      <c r="K864" s="1" t="s">
        <v>354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60.0" customHeight="1">
      <c r="A865" s="1" t="s">
        <v>4378</v>
      </c>
      <c r="B865" s="1" t="s">
        <v>4379</v>
      </c>
      <c r="C865" s="2" t="s">
        <v>4380</v>
      </c>
      <c r="D865" s="5" t="str">
        <f>IMAGE("https://drive.google.com/uc?export=view&amp;id=1F2NH3U0Kw0WdzJOyKc03dwbAnqSt19YV",2)</f>
        <v/>
      </c>
      <c r="E865" s="5" t="str">
        <f>IMAGE("https://drive.google.com/uc?export=view&amp;id=1F2NH3U0Kw0WdzJOyKc03dwbAnqSt19YV",1)</f>
        <v/>
      </c>
      <c r="F865" s="6" t="s">
        <v>4381</v>
      </c>
      <c r="G865" s="6" t="s">
        <v>4382</v>
      </c>
      <c r="H865" s="1" t="s">
        <v>92</v>
      </c>
      <c r="I865" s="7">
        <v>46005.90594200231</v>
      </c>
      <c r="J865" s="7">
        <v>46005.859444444446</v>
      </c>
      <c r="K865" s="1" t="s">
        <v>93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9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9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9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9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9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9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9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9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9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9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9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9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9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9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9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9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9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9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9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9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9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9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9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9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9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9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9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9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9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9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9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9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9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9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9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9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9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9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9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9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9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9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9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9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9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9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9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9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9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9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9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9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9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9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9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9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9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9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9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9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9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9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9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9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9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9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9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9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9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9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9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9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9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9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9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9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9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9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9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9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9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9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9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9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9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9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9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9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9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9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9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9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9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9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9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9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9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9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9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9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9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9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9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9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9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9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9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9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9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9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9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9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9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9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9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9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9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9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9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9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9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9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9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9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9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9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9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9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9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9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9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9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9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9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9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865"/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  <hyperlink r:id="rId61" ref="F32"/>
    <hyperlink r:id="rId62" ref="G32"/>
    <hyperlink r:id="rId63" ref="F33"/>
    <hyperlink r:id="rId64" ref="G33"/>
    <hyperlink r:id="rId65" ref="F34"/>
    <hyperlink r:id="rId66" ref="G34"/>
    <hyperlink r:id="rId67" ref="F35"/>
    <hyperlink r:id="rId68" ref="G35"/>
    <hyperlink r:id="rId69" ref="F36"/>
    <hyperlink r:id="rId70" ref="G36"/>
    <hyperlink r:id="rId71" ref="F37"/>
    <hyperlink r:id="rId72" ref="G37"/>
    <hyperlink r:id="rId73" ref="F38"/>
    <hyperlink r:id="rId74" ref="G38"/>
    <hyperlink r:id="rId75" ref="F39"/>
    <hyperlink r:id="rId76" ref="G39"/>
    <hyperlink r:id="rId77" ref="F40"/>
    <hyperlink r:id="rId78" ref="G40"/>
    <hyperlink r:id="rId79" ref="F41"/>
    <hyperlink r:id="rId80" ref="G41"/>
    <hyperlink r:id="rId81" ref="F42"/>
    <hyperlink r:id="rId82" ref="G42"/>
    <hyperlink r:id="rId83" ref="F43"/>
    <hyperlink r:id="rId84" ref="G43"/>
    <hyperlink r:id="rId85" ref="F44"/>
    <hyperlink r:id="rId86" ref="G44"/>
    <hyperlink r:id="rId87" ref="F45"/>
    <hyperlink r:id="rId88" ref="G45"/>
    <hyperlink r:id="rId89" ref="F46"/>
    <hyperlink r:id="rId90" ref="G46"/>
    <hyperlink r:id="rId91" ref="F47"/>
    <hyperlink r:id="rId92" ref="G47"/>
    <hyperlink r:id="rId93" ref="F48"/>
    <hyperlink r:id="rId94" ref="G48"/>
    <hyperlink r:id="rId95" ref="F49"/>
    <hyperlink r:id="rId96" ref="G49"/>
    <hyperlink r:id="rId97" ref="F50"/>
    <hyperlink r:id="rId98" ref="G50"/>
    <hyperlink r:id="rId99" ref="F51"/>
    <hyperlink r:id="rId100" ref="G51"/>
    <hyperlink r:id="rId101" ref="F52"/>
    <hyperlink r:id="rId102" ref="G52"/>
    <hyperlink r:id="rId103" ref="F53"/>
    <hyperlink r:id="rId104" ref="G53"/>
    <hyperlink r:id="rId105" ref="F54"/>
    <hyperlink r:id="rId106" ref="G54"/>
    <hyperlink r:id="rId107" ref="F55"/>
    <hyperlink r:id="rId108" ref="G55"/>
    <hyperlink r:id="rId109" ref="F56"/>
    <hyperlink r:id="rId110" ref="G56"/>
    <hyperlink r:id="rId111" ref="F57"/>
    <hyperlink r:id="rId112" ref="G57"/>
    <hyperlink r:id="rId113" ref="F58"/>
    <hyperlink r:id="rId114" ref="G58"/>
    <hyperlink r:id="rId115" ref="F59"/>
    <hyperlink r:id="rId116" ref="G59"/>
    <hyperlink r:id="rId117" ref="F60"/>
    <hyperlink r:id="rId118" ref="G60"/>
    <hyperlink r:id="rId119" ref="F61"/>
    <hyperlink r:id="rId120" ref="G61"/>
    <hyperlink r:id="rId121" ref="F62"/>
    <hyperlink r:id="rId122" ref="G62"/>
    <hyperlink r:id="rId123" ref="F63"/>
    <hyperlink r:id="rId124" ref="G63"/>
    <hyperlink r:id="rId125" ref="F64"/>
    <hyperlink r:id="rId126" ref="G64"/>
    <hyperlink r:id="rId127" ref="F65"/>
    <hyperlink r:id="rId128" ref="G65"/>
    <hyperlink r:id="rId129" ref="F66"/>
    <hyperlink r:id="rId130" ref="G66"/>
    <hyperlink r:id="rId131" ref="F67"/>
    <hyperlink r:id="rId132" ref="G67"/>
    <hyperlink r:id="rId133" ref="F68"/>
    <hyperlink r:id="rId134" ref="G68"/>
    <hyperlink r:id="rId135" ref="F69"/>
    <hyperlink r:id="rId136" ref="G69"/>
    <hyperlink r:id="rId137" ref="F70"/>
    <hyperlink r:id="rId138" ref="G70"/>
    <hyperlink r:id="rId139" ref="F71"/>
    <hyperlink r:id="rId140" ref="G71"/>
    <hyperlink r:id="rId141" ref="F72"/>
    <hyperlink r:id="rId142" ref="G72"/>
    <hyperlink r:id="rId143" ref="F73"/>
    <hyperlink r:id="rId144" ref="G73"/>
    <hyperlink r:id="rId145" ref="F74"/>
    <hyperlink r:id="rId146" ref="G74"/>
    <hyperlink r:id="rId147" ref="F75"/>
    <hyperlink r:id="rId148" ref="G75"/>
    <hyperlink r:id="rId149" ref="F76"/>
    <hyperlink r:id="rId150" ref="G76"/>
    <hyperlink r:id="rId151" ref="F77"/>
    <hyperlink r:id="rId152" ref="G77"/>
    <hyperlink r:id="rId153" ref="F78"/>
    <hyperlink r:id="rId154" ref="G78"/>
    <hyperlink r:id="rId155" ref="F79"/>
    <hyperlink r:id="rId156" ref="G79"/>
    <hyperlink r:id="rId157" ref="F80"/>
    <hyperlink r:id="rId158" ref="G80"/>
    <hyperlink r:id="rId159" ref="F81"/>
    <hyperlink r:id="rId160" ref="G81"/>
    <hyperlink r:id="rId161" ref="F82"/>
    <hyperlink r:id="rId162" ref="G82"/>
    <hyperlink r:id="rId163" ref="F83"/>
    <hyperlink r:id="rId164" ref="G83"/>
    <hyperlink r:id="rId165" ref="F84"/>
    <hyperlink r:id="rId166" ref="G84"/>
    <hyperlink r:id="rId167" ref="F85"/>
    <hyperlink r:id="rId168" ref="G85"/>
    <hyperlink r:id="rId169" ref="F86"/>
    <hyperlink r:id="rId170" ref="G86"/>
    <hyperlink r:id="rId171" ref="F87"/>
    <hyperlink r:id="rId172" ref="G87"/>
    <hyperlink r:id="rId173" ref="F88"/>
    <hyperlink r:id="rId174" ref="G88"/>
    <hyperlink r:id="rId175" ref="F89"/>
    <hyperlink r:id="rId176" ref="G89"/>
    <hyperlink r:id="rId177" ref="F90"/>
    <hyperlink r:id="rId178" ref="G90"/>
    <hyperlink r:id="rId179" ref="F91"/>
    <hyperlink r:id="rId180" ref="G91"/>
    <hyperlink r:id="rId181" ref="F92"/>
    <hyperlink r:id="rId182" ref="G92"/>
    <hyperlink r:id="rId183" ref="F93"/>
    <hyperlink r:id="rId184" ref="G93"/>
    <hyperlink r:id="rId185" ref="F94"/>
    <hyperlink r:id="rId186" ref="G94"/>
    <hyperlink r:id="rId187" ref="F95"/>
    <hyperlink r:id="rId188" ref="G95"/>
    <hyperlink r:id="rId189" ref="F96"/>
    <hyperlink r:id="rId190" ref="G96"/>
    <hyperlink r:id="rId191" ref="F97"/>
    <hyperlink r:id="rId192" ref="G97"/>
    <hyperlink r:id="rId193" ref="F98"/>
    <hyperlink r:id="rId194" ref="G98"/>
    <hyperlink r:id="rId195" ref="F99"/>
    <hyperlink r:id="rId196" ref="G99"/>
    <hyperlink r:id="rId197" ref="F100"/>
    <hyperlink r:id="rId198" ref="G100"/>
    <hyperlink r:id="rId199" ref="F101"/>
    <hyperlink r:id="rId200" ref="G101"/>
    <hyperlink r:id="rId201" ref="F102"/>
    <hyperlink r:id="rId202" ref="G102"/>
    <hyperlink r:id="rId203" ref="F103"/>
    <hyperlink r:id="rId204" ref="G103"/>
    <hyperlink r:id="rId205" ref="F104"/>
    <hyperlink r:id="rId206" ref="G104"/>
    <hyperlink r:id="rId207" ref="F105"/>
    <hyperlink r:id="rId208" ref="G105"/>
    <hyperlink r:id="rId209" ref="F106"/>
    <hyperlink r:id="rId210" ref="G106"/>
    <hyperlink r:id="rId211" ref="F107"/>
    <hyperlink r:id="rId212" ref="G107"/>
    <hyperlink r:id="rId213" ref="F108"/>
    <hyperlink r:id="rId214" ref="G108"/>
    <hyperlink r:id="rId215" ref="F109"/>
    <hyperlink r:id="rId216" ref="G109"/>
    <hyperlink r:id="rId217" ref="F110"/>
    <hyperlink r:id="rId218" ref="G110"/>
    <hyperlink r:id="rId219" ref="F111"/>
    <hyperlink r:id="rId220" ref="G111"/>
    <hyperlink r:id="rId221" ref="F112"/>
    <hyperlink r:id="rId222" ref="G112"/>
    <hyperlink r:id="rId223" ref="F113"/>
    <hyperlink r:id="rId224" ref="G113"/>
    <hyperlink r:id="rId225" ref="F114"/>
    <hyperlink r:id="rId226" ref="G114"/>
    <hyperlink r:id="rId227" ref="F115"/>
    <hyperlink r:id="rId228" ref="G115"/>
    <hyperlink r:id="rId229" ref="F116"/>
    <hyperlink r:id="rId230" ref="G116"/>
    <hyperlink r:id="rId231" ref="F117"/>
    <hyperlink r:id="rId232" ref="G117"/>
    <hyperlink r:id="rId233" ref="F118"/>
    <hyperlink r:id="rId234" ref="G118"/>
    <hyperlink r:id="rId235" ref="F119"/>
    <hyperlink r:id="rId236" ref="G119"/>
    <hyperlink r:id="rId237" ref="F120"/>
    <hyperlink r:id="rId238" ref="G120"/>
    <hyperlink r:id="rId239" ref="F121"/>
    <hyperlink r:id="rId240" ref="G121"/>
    <hyperlink r:id="rId241" ref="F122"/>
    <hyperlink r:id="rId242" ref="G122"/>
    <hyperlink r:id="rId243" ref="F123"/>
    <hyperlink r:id="rId244" ref="G123"/>
    <hyperlink r:id="rId245" ref="F124"/>
    <hyperlink r:id="rId246" ref="G124"/>
    <hyperlink r:id="rId247" ref="F125"/>
    <hyperlink r:id="rId248" ref="G125"/>
    <hyperlink r:id="rId249" ref="F126"/>
    <hyperlink r:id="rId250" ref="G126"/>
    <hyperlink r:id="rId251" ref="F127"/>
    <hyperlink r:id="rId252" ref="G127"/>
    <hyperlink r:id="rId253" ref="F128"/>
    <hyperlink r:id="rId254" ref="G128"/>
    <hyperlink r:id="rId255" ref="F129"/>
    <hyperlink r:id="rId256" ref="G129"/>
    <hyperlink r:id="rId257" ref="F130"/>
    <hyperlink r:id="rId258" ref="G130"/>
    <hyperlink r:id="rId259" ref="F131"/>
    <hyperlink r:id="rId260" ref="G131"/>
    <hyperlink r:id="rId261" ref="F132"/>
    <hyperlink r:id="rId262" ref="G132"/>
    <hyperlink r:id="rId263" ref="F133"/>
    <hyperlink r:id="rId264" ref="G133"/>
    <hyperlink r:id="rId265" ref="F134"/>
    <hyperlink r:id="rId266" ref="G134"/>
    <hyperlink r:id="rId267" ref="F135"/>
    <hyperlink r:id="rId268" ref="G135"/>
    <hyperlink r:id="rId269" ref="F136"/>
    <hyperlink r:id="rId270" ref="G136"/>
    <hyperlink r:id="rId271" ref="F137"/>
    <hyperlink r:id="rId272" ref="G137"/>
    <hyperlink r:id="rId273" ref="F138"/>
    <hyperlink r:id="rId274" ref="G138"/>
    <hyperlink r:id="rId275" ref="F139"/>
    <hyperlink r:id="rId276" ref="G139"/>
    <hyperlink r:id="rId277" ref="F140"/>
    <hyperlink r:id="rId278" ref="G140"/>
    <hyperlink r:id="rId279" ref="F141"/>
    <hyperlink r:id="rId280" ref="G141"/>
    <hyperlink r:id="rId281" ref="F142"/>
    <hyperlink r:id="rId282" ref="G142"/>
    <hyperlink r:id="rId283" ref="F143"/>
    <hyperlink r:id="rId284" ref="G143"/>
    <hyperlink r:id="rId285" ref="F144"/>
    <hyperlink r:id="rId286" ref="G144"/>
    <hyperlink r:id="rId287" ref="F145"/>
    <hyperlink r:id="rId288" ref="G145"/>
    <hyperlink r:id="rId289" ref="F146"/>
    <hyperlink r:id="rId290" ref="G146"/>
    <hyperlink r:id="rId291" ref="F147"/>
    <hyperlink r:id="rId292" ref="G147"/>
    <hyperlink r:id="rId293" ref="F148"/>
    <hyperlink r:id="rId294" ref="G148"/>
    <hyperlink r:id="rId295" ref="F149"/>
    <hyperlink r:id="rId296" ref="G149"/>
    <hyperlink r:id="rId297" ref="F150"/>
    <hyperlink r:id="rId298" ref="G150"/>
    <hyperlink r:id="rId299" ref="F151"/>
    <hyperlink r:id="rId300" ref="G151"/>
    <hyperlink r:id="rId301" ref="F152"/>
    <hyperlink r:id="rId302" ref="G152"/>
    <hyperlink r:id="rId303" ref="F153"/>
    <hyperlink r:id="rId304" ref="G153"/>
    <hyperlink r:id="rId305" ref="F154"/>
    <hyperlink r:id="rId306" ref="G154"/>
    <hyperlink r:id="rId307" ref="F155"/>
    <hyperlink r:id="rId308" ref="G155"/>
    <hyperlink r:id="rId309" ref="F156"/>
    <hyperlink r:id="rId310" ref="G156"/>
    <hyperlink r:id="rId311" ref="F157"/>
    <hyperlink r:id="rId312" ref="G157"/>
    <hyperlink r:id="rId313" ref="F158"/>
    <hyperlink r:id="rId314" ref="G158"/>
    <hyperlink r:id="rId315" ref="F159"/>
    <hyperlink r:id="rId316" ref="G159"/>
    <hyperlink r:id="rId317" ref="F160"/>
    <hyperlink r:id="rId318" ref="G160"/>
    <hyperlink r:id="rId319" ref="F161"/>
    <hyperlink r:id="rId320" ref="G161"/>
    <hyperlink r:id="rId321" ref="F162"/>
    <hyperlink r:id="rId322" ref="G162"/>
    <hyperlink r:id="rId323" ref="F163"/>
    <hyperlink r:id="rId324" ref="G163"/>
    <hyperlink r:id="rId325" ref="F164"/>
    <hyperlink r:id="rId326" ref="G164"/>
    <hyperlink r:id="rId327" ref="F165"/>
    <hyperlink r:id="rId328" ref="G165"/>
    <hyperlink r:id="rId329" ref="F166"/>
    <hyperlink r:id="rId330" ref="G166"/>
    <hyperlink r:id="rId331" ref="F167"/>
    <hyperlink r:id="rId332" ref="G167"/>
    <hyperlink r:id="rId333" ref="F168"/>
    <hyperlink r:id="rId334" ref="G168"/>
    <hyperlink r:id="rId335" ref="F169"/>
    <hyperlink r:id="rId336" ref="G169"/>
    <hyperlink r:id="rId337" ref="F170"/>
    <hyperlink r:id="rId338" ref="G170"/>
    <hyperlink r:id="rId339" ref="F171"/>
    <hyperlink r:id="rId340" ref="G171"/>
    <hyperlink r:id="rId341" ref="F172"/>
    <hyperlink r:id="rId342" ref="G172"/>
    <hyperlink r:id="rId343" ref="F173"/>
    <hyperlink r:id="rId344" ref="G173"/>
    <hyperlink r:id="rId345" ref="F174"/>
    <hyperlink r:id="rId346" ref="G174"/>
    <hyperlink r:id="rId347" ref="F175"/>
    <hyperlink r:id="rId348" ref="G175"/>
    <hyperlink r:id="rId349" ref="F176"/>
    <hyperlink r:id="rId350" ref="G176"/>
    <hyperlink r:id="rId351" ref="F177"/>
    <hyperlink r:id="rId352" ref="G177"/>
    <hyperlink r:id="rId353" ref="F178"/>
    <hyperlink r:id="rId354" ref="G178"/>
    <hyperlink r:id="rId355" ref="F179"/>
    <hyperlink r:id="rId356" ref="G179"/>
    <hyperlink r:id="rId357" ref="F180"/>
    <hyperlink r:id="rId358" ref="G180"/>
    <hyperlink r:id="rId359" ref="F181"/>
    <hyperlink r:id="rId360" ref="G181"/>
    <hyperlink r:id="rId361" ref="F182"/>
    <hyperlink r:id="rId362" ref="G182"/>
    <hyperlink r:id="rId363" ref="F183"/>
    <hyperlink r:id="rId364" ref="G183"/>
    <hyperlink r:id="rId365" ref="F184"/>
    <hyperlink r:id="rId366" ref="G184"/>
    <hyperlink r:id="rId367" ref="F185"/>
    <hyperlink r:id="rId368" ref="G185"/>
    <hyperlink r:id="rId369" ref="F186"/>
    <hyperlink r:id="rId370" ref="G186"/>
    <hyperlink r:id="rId371" ref="F187"/>
    <hyperlink r:id="rId372" ref="G187"/>
    <hyperlink r:id="rId373" ref="F188"/>
    <hyperlink r:id="rId374" ref="G188"/>
    <hyperlink r:id="rId375" ref="F189"/>
    <hyperlink r:id="rId376" ref="G189"/>
    <hyperlink r:id="rId377" ref="F190"/>
    <hyperlink r:id="rId378" ref="G190"/>
    <hyperlink r:id="rId379" ref="F191"/>
    <hyperlink r:id="rId380" ref="G191"/>
    <hyperlink r:id="rId381" ref="F192"/>
    <hyperlink r:id="rId382" ref="G192"/>
    <hyperlink r:id="rId383" ref="F193"/>
    <hyperlink r:id="rId384" ref="G193"/>
    <hyperlink r:id="rId385" ref="F194"/>
    <hyperlink r:id="rId386" ref="G194"/>
    <hyperlink r:id="rId387" ref="F195"/>
    <hyperlink r:id="rId388" ref="G195"/>
    <hyperlink r:id="rId389" ref="F196"/>
    <hyperlink r:id="rId390" ref="G196"/>
    <hyperlink r:id="rId391" ref="F197"/>
    <hyperlink r:id="rId392" ref="G197"/>
    <hyperlink r:id="rId393" ref="F198"/>
    <hyperlink r:id="rId394" ref="G198"/>
    <hyperlink r:id="rId395" ref="F199"/>
    <hyperlink r:id="rId396" ref="G199"/>
    <hyperlink r:id="rId397" ref="F200"/>
    <hyperlink r:id="rId398" ref="G200"/>
    <hyperlink r:id="rId399" ref="F201"/>
    <hyperlink r:id="rId400" ref="G201"/>
    <hyperlink r:id="rId401" ref="F202"/>
    <hyperlink r:id="rId402" ref="G202"/>
    <hyperlink r:id="rId403" ref="F203"/>
    <hyperlink r:id="rId404" ref="G203"/>
    <hyperlink r:id="rId405" ref="F204"/>
    <hyperlink r:id="rId406" ref="G204"/>
    <hyperlink r:id="rId407" ref="F205"/>
    <hyperlink r:id="rId408" ref="G205"/>
    <hyperlink r:id="rId409" ref="F206"/>
    <hyperlink r:id="rId410" ref="G206"/>
    <hyperlink r:id="rId411" ref="F207"/>
    <hyperlink r:id="rId412" ref="G207"/>
    <hyperlink r:id="rId413" ref="F208"/>
    <hyperlink r:id="rId414" ref="G208"/>
    <hyperlink r:id="rId415" ref="F209"/>
    <hyperlink r:id="rId416" ref="G209"/>
    <hyperlink r:id="rId417" ref="F210"/>
    <hyperlink r:id="rId418" ref="G210"/>
    <hyperlink r:id="rId419" ref="F211"/>
    <hyperlink r:id="rId420" ref="G211"/>
    <hyperlink r:id="rId421" ref="F212"/>
    <hyperlink r:id="rId422" ref="G212"/>
    <hyperlink r:id="rId423" ref="F213"/>
    <hyperlink r:id="rId424" ref="G213"/>
    <hyperlink r:id="rId425" ref="F214"/>
    <hyperlink r:id="rId426" ref="G214"/>
    <hyperlink r:id="rId427" ref="F215"/>
    <hyperlink r:id="rId428" ref="G215"/>
    <hyperlink r:id="rId429" ref="F216"/>
    <hyperlink r:id="rId430" ref="G216"/>
    <hyperlink r:id="rId431" ref="F217"/>
    <hyperlink r:id="rId432" ref="G217"/>
    <hyperlink r:id="rId433" ref="F218"/>
    <hyperlink r:id="rId434" ref="G218"/>
    <hyperlink r:id="rId435" ref="F219"/>
    <hyperlink r:id="rId436" ref="G219"/>
    <hyperlink r:id="rId437" ref="F220"/>
    <hyperlink r:id="rId438" ref="G220"/>
    <hyperlink r:id="rId439" ref="F221"/>
    <hyperlink r:id="rId440" ref="G221"/>
    <hyperlink r:id="rId441" ref="F222"/>
    <hyperlink r:id="rId442" ref="G222"/>
    <hyperlink r:id="rId443" ref="F223"/>
    <hyperlink r:id="rId444" ref="G223"/>
    <hyperlink r:id="rId445" ref="F224"/>
    <hyperlink r:id="rId446" ref="G224"/>
    <hyperlink r:id="rId447" ref="F225"/>
    <hyperlink r:id="rId448" ref="G225"/>
    <hyperlink r:id="rId449" ref="F226"/>
    <hyperlink r:id="rId450" ref="G226"/>
    <hyperlink r:id="rId451" ref="F227"/>
    <hyperlink r:id="rId452" ref="G227"/>
    <hyperlink r:id="rId453" ref="F228"/>
    <hyperlink r:id="rId454" ref="G228"/>
    <hyperlink r:id="rId455" ref="F229"/>
    <hyperlink r:id="rId456" ref="G229"/>
    <hyperlink r:id="rId457" ref="F230"/>
    <hyperlink r:id="rId458" ref="G230"/>
    <hyperlink r:id="rId459" ref="F231"/>
    <hyperlink r:id="rId460" ref="G231"/>
    <hyperlink r:id="rId461" ref="F232"/>
    <hyperlink r:id="rId462" ref="G232"/>
    <hyperlink r:id="rId463" ref="F233"/>
    <hyperlink r:id="rId464" ref="G233"/>
    <hyperlink r:id="rId465" ref="F234"/>
    <hyperlink r:id="rId466" ref="G234"/>
    <hyperlink r:id="rId467" ref="F235"/>
    <hyperlink r:id="rId468" ref="G235"/>
    <hyperlink r:id="rId469" ref="F236"/>
    <hyperlink r:id="rId470" ref="G236"/>
    <hyperlink r:id="rId471" ref="F237"/>
    <hyperlink r:id="rId472" ref="G237"/>
    <hyperlink r:id="rId473" ref="F238"/>
    <hyperlink r:id="rId474" ref="G238"/>
    <hyperlink r:id="rId475" ref="F239"/>
    <hyperlink r:id="rId476" ref="G239"/>
    <hyperlink r:id="rId477" ref="F240"/>
    <hyperlink r:id="rId478" ref="G240"/>
    <hyperlink r:id="rId479" ref="F241"/>
    <hyperlink r:id="rId480" ref="G241"/>
    <hyperlink r:id="rId481" ref="F242"/>
    <hyperlink r:id="rId482" ref="G242"/>
    <hyperlink r:id="rId483" ref="F243"/>
    <hyperlink r:id="rId484" ref="G243"/>
    <hyperlink r:id="rId485" ref="F244"/>
    <hyperlink r:id="rId486" ref="G244"/>
    <hyperlink r:id="rId487" ref="F245"/>
    <hyperlink r:id="rId488" ref="G245"/>
    <hyperlink r:id="rId489" ref="F246"/>
    <hyperlink r:id="rId490" ref="G246"/>
    <hyperlink r:id="rId491" ref="F247"/>
    <hyperlink r:id="rId492" ref="G247"/>
    <hyperlink r:id="rId493" ref="F248"/>
    <hyperlink r:id="rId494" ref="G248"/>
    <hyperlink r:id="rId495" ref="F249"/>
    <hyperlink r:id="rId496" ref="G249"/>
    <hyperlink r:id="rId497" ref="F250"/>
    <hyperlink r:id="rId498" ref="G250"/>
    <hyperlink r:id="rId499" ref="F251"/>
    <hyperlink r:id="rId500" ref="G251"/>
    <hyperlink r:id="rId501" ref="F252"/>
    <hyperlink r:id="rId502" ref="G252"/>
    <hyperlink r:id="rId503" ref="F253"/>
    <hyperlink r:id="rId504" ref="G253"/>
    <hyperlink r:id="rId505" ref="F254"/>
    <hyperlink r:id="rId506" ref="G254"/>
    <hyperlink r:id="rId507" ref="F255"/>
    <hyperlink r:id="rId508" ref="G255"/>
    <hyperlink r:id="rId509" ref="F256"/>
    <hyperlink r:id="rId510" ref="G256"/>
    <hyperlink r:id="rId511" ref="F257"/>
    <hyperlink r:id="rId512" ref="G257"/>
    <hyperlink r:id="rId513" ref="F258"/>
    <hyperlink r:id="rId514" ref="G258"/>
    <hyperlink r:id="rId515" ref="F259"/>
    <hyperlink r:id="rId516" ref="G259"/>
    <hyperlink r:id="rId517" ref="F260"/>
    <hyperlink r:id="rId518" ref="G260"/>
    <hyperlink r:id="rId519" ref="F261"/>
    <hyperlink r:id="rId520" ref="G261"/>
    <hyperlink r:id="rId521" ref="F262"/>
    <hyperlink r:id="rId522" ref="G262"/>
    <hyperlink r:id="rId523" ref="F263"/>
    <hyperlink r:id="rId524" ref="G263"/>
    <hyperlink r:id="rId525" ref="F264"/>
    <hyperlink r:id="rId526" ref="G264"/>
    <hyperlink r:id="rId527" ref="F265"/>
    <hyperlink r:id="rId528" ref="G265"/>
    <hyperlink r:id="rId529" ref="F266"/>
    <hyperlink r:id="rId530" ref="G266"/>
    <hyperlink r:id="rId531" ref="F267"/>
    <hyperlink r:id="rId532" ref="G267"/>
    <hyperlink r:id="rId533" ref="F268"/>
    <hyperlink r:id="rId534" ref="G268"/>
    <hyperlink r:id="rId535" ref="F269"/>
    <hyperlink r:id="rId536" ref="G269"/>
    <hyperlink r:id="rId537" ref="F270"/>
    <hyperlink r:id="rId538" ref="G270"/>
    <hyperlink r:id="rId539" ref="F271"/>
    <hyperlink r:id="rId540" ref="G271"/>
    <hyperlink r:id="rId541" ref="F272"/>
    <hyperlink r:id="rId542" ref="G272"/>
    <hyperlink r:id="rId543" ref="F273"/>
    <hyperlink r:id="rId544" ref="G273"/>
    <hyperlink r:id="rId545" ref="F274"/>
    <hyperlink r:id="rId546" ref="G274"/>
    <hyperlink r:id="rId547" ref="F275"/>
    <hyperlink r:id="rId548" ref="G275"/>
    <hyperlink r:id="rId549" ref="F276"/>
    <hyperlink r:id="rId550" ref="G276"/>
    <hyperlink r:id="rId551" ref="F277"/>
    <hyperlink r:id="rId552" ref="G277"/>
    <hyperlink r:id="rId553" ref="F278"/>
    <hyperlink r:id="rId554" ref="G278"/>
    <hyperlink r:id="rId555" ref="F279"/>
    <hyperlink r:id="rId556" ref="G279"/>
    <hyperlink r:id="rId557" ref="F280"/>
    <hyperlink r:id="rId558" ref="G280"/>
    <hyperlink r:id="rId559" ref="F281"/>
    <hyperlink r:id="rId560" ref="G281"/>
    <hyperlink r:id="rId561" ref="F282"/>
    <hyperlink r:id="rId562" ref="G282"/>
    <hyperlink r:id="rId563" ref="F283"/>
    <hyperlink r:id="rId564" ref="G283"/>
    <hyperlink r:id="rId565" ref="F284"/>
    <hyperlink r:id="rId566" ref="G284"/>
    <hyperlink r:id="rId567" ref="F285"/>
    <hyperlink r:id="rId568" ref="G285"/>
    <hyperlink r:id="rId569" ref="F286"/>
    <hyperlink r:id="rId570" ref="G286"/>
    <hyperlink r:id="rId571" ref="F287"/>
    <hyperlink r:id="rId572" ref="G287"/>
    <hyperlink r:id="rId573" ref="F288"/>
    <hyperlink r:id="rId574" ref="G288"/>
    <hyperlink r:id="rId575" ref="F289"/>
    <hyperlink r:id="rId576" ref="G289"/>
    <hyperlink r:id="rId577" ref="F290"/>
    <hyperlink r:id="rId578" ref="G290"/>
    <hyperlink r:id="rId579" ref="F291"/>
    <hyperlink r:id="rId580" ref="G291"/>
    <hyperlink r:id="rId581" ref="F292"/>
    <hyperlink r:id="rId582" ref="G292"/>
    <hyperlink r:id="rId583" ref="F293"/>
    <hyperlink r:id="rId584" ref="G293"/>
    <hyperlink r:id="rId585" ref="F294"/>
    <hyperlink r:id="rId586" ref="G294"/>
    <hyperlink r:id="rId587" ref="F295"/>
    <hyperlink r:id="rId588" ref="G295"/>
    <hyperlink r:id="rId589" ref="F296"/>
    <hyperlink r:id="rId590" ref="G296"/>
    <hyperlink r:id="rId591" ref="F297"/>
    <hyperlink r:id="rId592" ref="G297"/>
    <hyperlink r:id="rId593" ref="F298"/>
    <hyperlink r:id="rId594" ref="G298"/>
    <hyperlink r:id="rId595" ref="F299"/>
    <hyperlink r:id="rId596" ref="G299"/>
    <hyperlink r:id="rId597" ref="F300"/>
    <hyperlink r:id="rId598" ref="G300"/>
    <hyperlink r:id="rId599" ref="F301"/>
    <hyperlink r:id="rId600" ref="G301"/>
    <hyperlink r:id="rId601" ref="F302"/>
    <hyperlink r:id="rId602" ref="G302"/>
    <hyperlink r:id="rId603" ref="F303"/>
    <hyperlink r:id="rId604" ref="G303"/>
    <hyperlink r:id="rId605" ref="F304"/>
    <hyperlink r:id="rId606" ref="G304"/>
    <hyperlink r:id="rId607" ref="F305"/>
    <hyperlink r:id="rId608" ref="G305"/>
    <hyperlink r:id="rId609" ref="F306"/>
    <hyperlink r:id="rId610" ref="G306"/>
    <hyperlink r:id="rId611" ref="F307"/>
    <hyperlink r:id="rId612" ref="G307"/>
    <hyperlink r:id="rId613" ref="F308"/>
    <hyperlink r:id="rId614" ref="G308"/>
    <hyperlink r:id="rId615" ref="F309"/>
    <hyperlink r:id="rId616" ref="G309"/>
    <hyperlink r:id="rId617" ref="F310"/>
    <hyperlink r:id="rId618" ref="G310"/>
    <hyperlink r:id="rId619" ref="F311"/>
    <hyperlink r:id="rId620" ref="G311"/>
    <hyperlink r:id="rId621" ref="F312"/>
    <hyperlink r:id="rId622" ref="G312"/>
    <hyperlink r:id="rId623" ref="F313"/>
    <hyperlink r:id="rId624" ref="G313"/>
    <hyperlink r:id="rId625" ref="F314"/>
    <hyperlink r:id="rId626" ref="G314"/>
    <hyperlink r:id="rId627" ref="F315"/>
    <hyperlink r:id="rId628" ref="G315"/>
    <hyperlink r:id="rId629" ref="F316"/>
    <hyperlink r:id="rId630" ref="G316"/>
    <hyperlink r:id="rId631" ref="F317"/>
    <hyperlink r:id="rId632" ref="G317"/>
    <hyperlink r:id="rId633" ref="F318"/>
    <hyperlink r:id="rId634" ref="G318"/>
    <hyperlink r:id="rId635" ref="F319"/>
    <hyperlink r:id="rId636" ref="G319"/>
    <hyperlink r:id="rId637" ref="F320"/>
    <hyperlink r:id="rId638" ref="G320"/>
    <hyperlink r:id="rId639" ref="F321"/>
    <hyperlink r:id="rId640" ref="G321"/>
    <hyperlink r:id="rId641" ref="F322"/>
    <hyperlink r:id="rId642" ref="G322"/>
    <hyperlink r:id="rId643" ref="F323"/>
    <hyperlink r:id="rId644" ref="G323"/>
    <hyperlink r:id="rId645" ref="F324"/>
    <hyperlink r:id="rId646" ref="G324"/>
    <hyperlink r:id="rId647" ref="F325"/>
    <hyperlink r:id="rId648" ref="G325"/>
    <hyperlink r:id="rId649" ref="F326"/>
    <hyperlink r:id="rId650" ref="G326"/>
    <hyperlink r:id="rId651" ref="F327"/>
    <hyperlink r:id="rId652" ref="G327"/>
    <hyperlink r:id="rId653" ref="F328"/>
    <hyperlink r:id="rId654" ref="G328"/>
    <hyperlink r:id="rId655" ref="F329"/>
    <hyperlink r:id="rId656" ref="G329"/>
    <hyperlink r:id="rId657" ref="F330"/>
    <hyperlink r:id="rId658" ref="G330"/>
    <hyperlink r:id="rId659" ref="F331"/>
    <hyperlink r:id="rId660" ref="G331"/>
    <hyperlink r:id="rId661" ref="F332"/>
    <hyperlink r:id="rId662" ref="G332"/>
    <hyperlink r:id="rId663" ref="F333"/>
    <hyperlink r:id="rId664" ref="G333"/>
    <hyperlink r:id="rId665" ref="F334"/>
    <hyperlink r:id="rId666" ref="G334"/>
    <hyperlink r:id="rId667" ref="F335"/>
    <hyperlink r:id="rId668" ref="G335"/>
    <hyperlink r:id="rId669" ref="F336"/>
    <hyperlink r:id="rId670" ref="G336"/>
    <hyperlink r:id="rId671" ref="F337"/>
    <hyperlink r:id="rId672" ref="G337"/>
    <hyperlink r:id="rId673" ref="F338"/>
    <hyperlink r:id="rId674" ref="G338"/>
    <hyperlink r:id="rId675" ref="F339"/>
    <hyperlink r:id="rId676" ref="G339"/>
    <hyperlink r:id="rId677" ref="F340"/>
    <hyperlink r:id="rId678" ref="G340"/>
    <hyperlink r:id="rId679" ref="F341"/>
    <hyperlink r:id="rId680" ref="G341"/>
    <hyperlink r:id="rId681" ref="F342"/>
    <hyperlink r:id="rId682" ref="G342"/>
    <hyperlink r:id="rId683" ref="F343"/>
    <hyperlink r:id="rId684" ref="G343"/>
    <hyperlink r:id="rId685" ref="F344"/>
    <hyperlink r:id="rId686" ref="G344"/>
    <hyperlink r:id="rId687" ref="F345"/>
    <hyperlink r:id="rId688" ref="G345"/>
    <hyperlink r:id="rId689" ref="F346"/>
    <hyperlink r:id="rId690" ref="G346"/>
    <hyperlink r:id="rId691" ref="F347"/>
    <hyperlink r:id="rId692" ref="G347"/>
    <hyperlink r:id="rId693" ref="F348"/>
    <hyperlink r:id="rId694" ref="G348"/>
    <hyperlink r:id="rId695" ref="F349"/>
    <hyperlink r:id="rId696" ref="G349"/>
    <hyperlink r:id="rId697" ref="F350"/>
    <hyperlink r:id="rId698" ref="G350"/>
    <hyperlink r:id="rId699" ref="F351"/>
    <hyperlink r:id="rId700" ref="G351"/>
    <hyperlink r:id="rId701" ref="F352"/>
    <hyperlink r:id="rId702" ref="G352"/>
    <hyperlink r:id="rId703" ref="F353"/>
    <hyperlink r:id="rId704" ref="G353"/>
    <hyperlink r:id="rId705" ref="F354"/>
    <hyperlink r:id="rId706" ref="G354"/>
    <hyperlink r:id="rId707" ref="F355"/>
    <hyperlink r:id="rId708" ref="G355"/>
    <hyperlink r:id="rId709" ref="F356"/>
    <hyperlink r:id="rId710" ref="G356"/>
    <hyperlink r:id="rId711" ref="F357"/>
    <hyperlink r:id="rId712" ref="G357"/>
    <hyperlink r:id="rId713" ref="F358"/>
    <hyperlink r:id="rId714" ref="G358"/>
    <hyperlink r:id="rId715" ref="F359"/>
    <hyperlink r:id="rId716" ref="G359"/>
    <hyperlink r:id="rId717" ref="F360"/>
    <hyperlink r:id="rId718" ref="G360"/>
    <hyperlink r:id="rId719" ref="F361"/>
    <hyperlink r:id="rId720" ref="G361"/>
    <hyperlink r:id="rId721" ref="F362"/>
    <hyperlink r:id="rId722" ref="G362"/>
    <hyperlink r:id="rId723" ref="F363"/>
    <hyperlink r:id="rId724" ref="G363"/>
    <hyperlink r:id="rId725" ref="F364"/>
    <hyperlink r:id="rId726" ref="G364"/>
    <hyperlink r:id="rId727" ref="F365"/>
    <hyperlink r:id="rId728" ref="G365"/>
    <hyperlink r:id="rId729" ref="F366"/>
    <hyperlink r:id="rId730" ref="G366"/>
    <hyperlink r:id="rId731" ref="F367"/>
    <hyperlink r:id="rId732" ref="G367"/>
    <hyperlink r:id="rId733" ref="F368"/>
    <hyperlink r:id="rId734" ref="G368"/>
    <hyperlink r:id="rId735" ref="F369"/>
    <hyperlink r:id="rId736" ref="G369"/>
    <hyperlink r:id="rId737" ref="F370"/>
    <hyperlink r:id="rId738" ref="G370"/>
    <hyperlink r:id="rId739" ref="F371"/>
    <hyperlink r:id="rId740" ref="G371"/>
    <hyperlink r:id="rId741" ref="F372"/>
    <hyperlink r:id="rId742" ref="G372"/>
    <hyperlink r:id="rId743" ref="F373"/>
    <hyperlink r:id="rId744" ref="G373"/>
    <hyperlink r:id="rId745" ref="F374"/>
    <hyperlink r:id="rId746" ref="G374"/>
    <hyperlink r:id="rId747" ref="F375"/>
    <hyperlink r:id="rId748" ref="G375"/>
    <hyperlink r:id="rId749" ref="F376"/>
    <hyperlink r:id="rId750" ref="G376"/>
    <hyperlink r:id="rId751" ref="F377"/>
    <hyperlink r:id="rId752" ref="G377"/>
    <hyperlink r:id="rId753" ref="F378"/>
    <hyperlink r:id="rId754" ref="G378"/>
    <hyperlink r:id="rId755" ref="F379"/>
    <hyperlink r:id="rId756" ref="G379"/>
    <hyperlink r:id="rId757" ref="F380"/>
    <hyperlink r:id="rId758" ref="G380"/>
    <hyperlink r:id="rId759" ref="F381"/>
    <hyperlink r:id="rId760" ref="G381"/>
    <hyperlink r:id="rId761" ref="F382"/>
    <hyperlink r:id="rId762" ref="G382"/>
    <hyperlink r:id="rId763" ref="F383"/>
    <hyperlink r:id="rId764" ref="G383"/>
    <hyperlink r:id="rId765" ref="F384"/>
    <hyperlink r:id="rId766" ref="G384"/>
    <hyperlink r:id="rId767" ref="F385"/>
    <hyperlink r:id="rId768" ref="G385"/>
    <hyperlink r:id="rId769" ref="F386"/>
    <hyperlink r:id="rId770" ref="G386"/>
    <hyperlink r:id="rId771" ref="F387"/>
    <hyperlink r:id="rId772" ref="G387"/>
    <hyperlink r:id="rId773" ref="F388"/>
    <hyperlink r:id="rId774" ref="G388"/>
    <hyperlink r:id="rId775" ref="F389"/>
    <hyperlink r:id="rId776" ref="G389"/>
    <hyperlink r:id="rId777" ref="F390"/>
    <hyperlink r:id="rId778" ref="G390"/>
    <hyperlink r:id="rId779" ref="F391"/>
    <hyperlink r:id="rId780" ref="G391"/>
    <hyperlink r:id="rId781" ref="F392"/>
    <hyperlink r:id="rId782" ref="G392"/>
    <hyperlink r:id="rId783" ref="F393"/>
    <hyperlink r:id="rId784" ref="G393"/>
    <hyperlink r:id="rId785" ref="F394"/>
    <hyperlink r:id="rId786" ref="G394"/>
    <hyperlink r:id="rId787" ref="F395"/>
    <hyperlink r:id="rId788" ref="G395"/>
    <hyperlink r:id="rId789" ref="F396"/>
    <hyperlink r:id="rId790" ref="G396"/>
    <hyperlink r:id="rId791" ref="F397"/>
    <hyperlink r:id="rId792" ref="G397"/>
    <hyperlink r:id="rId793" ref="F398"/>
    <hyperlink r:id="rId794" ref="G398"/>
    <hyperlink r:id="rId795" ref="F399"/>
    <hyperlink r:id="rId796" ref="G399"/>
    <hyperlink r:id="rId797" ref="F400"/>
    <hyperlink r:id="rId798" ref="G400"/>
    <hyperlink r:id="rId799" ref="F401"/>
    <hyperlink r:id="rId800" ref="G401"/>
    <hyperlink r:id="rId801" ref="F402"/>
    <hyperlink r:id="rId802" ref="G402"/>
    <hyperlink r:id="rId803" ref="F403"/>
    <hyperlink r:id="rId804" ref="G403"/>
    <hyperlink r:id="rId805" ref="F404"/>
    <hyperlink r:id="rId806" ref="G404"/>
    <hyperlink r:id="rId807" ref="F405"/>
    <hyperlink r:id="rId808" ref="G405"/>
    <hyperlink r:id="rId809" ref="F406"/>
    <hyperlink r:id="rId810" ref="G406"/>
    <hyperlink r:id="rId811" ref="F407"/>
    <hyperlink r:id="rId812" ref="G407"/>
    <hyperlink r:id="rId813" ref="F408"/>
    <hyperlink r:id="rId814" ref="G408"/>
    <hyperlink r:id="rId815" ref="F409"/>
    <hyperlink r:id="rId816" ref="G409"/>
    <hyperlink r:id="rId817" ref="F410"/>
    <hyperlink r:id="rId818" ref="G410"/>
    <hyperlink r:id="rId819" ref="F411"/>
    <hyperlink r:id="rId820" ref="G411"/>
    <hyperlink r:id="rId821" ref="F412"/>
    <hyperlink r:id="rId822" ref="G412"/>
    <hyperlink r:id="rId823" ref="F413"/>
    <hyperlink r:id="rId824" ref="G413"/>
    <hyperlink r:id="rId825" ref="F414"/>
    <hyperlink r:id="rId826" ref="G414"/>
    <hyperlink r:id="rId827" ref="F415"/>
    <hyperlink r:id="rId828" ref="G415"/>
    <hyperlink r:id="rId829" ref="F416"/>
    <hyperlink r:id="rId830" ref="G416"/>
    <hyperlink r:id="rId831" ref="F417"/>
    <hyperlink r:id="rId832" ref="G417"/>
    <hyperlink r:id="rId833" ref="F418"/>
    <hyperlink r:id="rId834" ref="G418"/>
    <hyperlink r:id="rId835" ref="F419"/>
    <hyperlink r:id="rId836" ref="G419"/>
    <hyperlink r:id="rId837" ref="F420"/>
    <hyperlink r:id="rId838" ref="G420"/>
    <hyperlink r:id="rId839" ref="F421"/>
    <hyperlink r:id="rId840" ref="G421"/>
    <hyperlink r:id="rId841" ref="F422"/>
    <hyperlink r:id="rId842" ref="G422"/>
    <hyperlink r:id="rId843" ref="F423"/>
    <hyperlink r:id="rId844" ref="G423"/>
    <hyperlink r:id="rId845" ref="F424"/>
    <hyperlink r:id="rId846" ref="G424"/>
    <hyperlink r:id="rId847" ref="F425"/>
    <hyperlink r:id="rId848" ref="G425"/>
    <hyperlink r:id="rId849" ref="F426"/>
    <hyperlink r:id="rId850" ref="G426"/>
    <hyperlink r:id="rId851" ref="F427"/>
    <hyperlink r:id="rId852" ref="G427"/>
    <hyperlink r:id="rId853" ref="F428"/>
    <hyperlink r:id="rId854" ref="G428"/>
    <hyperlink r:id="rId855" ref="F429"/>
    <hyperlink r:id="rId856" ref="G429"/>
    <hyperlink r:id="rId857" ref="F430"/>
    <hyperlink r:id="rId858" ref="G430"/>
    <hyperlink r:id="rId859" ref="F431"/>
    <hyperlink r:id="rId860" ref="G431"/>
    <hyperlink r:id="rId861" ref="F432"/>
    <hyperlink r:id="rId862" ref="G432"/>
    <hyperlink r:id="rId863" ref="F433"/>
    <hyperlink r:id="rId864" ref="G433"/>
    <hyperlink r:id="rId865" ref="F434"/>
    <hyperlink r:id="rId866" ref="G434"/>
    <hyperlink r:id="rId867" ref="F435"/>
    <hyperlink r:id="rId868" ref="G435"/>
    <hyperlink r:id="rId869" ref="F436"/>
    <hyperlink r:id="rId870" ref="G436"/>
    <hyperlink r:id="rId871" ref="F437"/>
    <hyperlink r:id="rId872" ref="G437"/>
    <hyperlink r:id="rId873" ref="F438"/>
    <hyperlink r:id="rId874" ref="G438"/>
    <hyperlink r:id="rId875" ref="F439"/>
    <hyperlink r:id="rId876" ref="G439"/>
    <hyperlink r:id="rId877" ref="F440"/>
    <hyperlink r:id="rId878" ref="G440"/>
    <hyperlink r:id="rId879" ref="F441"/>
    <hyperlink r:id="rId880" ref="G441"/>
    <hyperlink r:id="rId881" ref="F442"/>
    <hyperlink r:id="rId882" ref="G442"/>
    <hyperlink r:id="rId883" ref="F443"/>
    <hyperlink r:id="rId884" ref="G443"/>
    <hyperlink r:id="rId885" ref="F444"/>
    <hyperlink r:id="rId886" ref="G444"/>
    <hyperlink r:id="rId887" ref="F445"/>
    <hyperlink r:id="rId888" ref="G445"/>
    <hyperlink r:id="rId889" ref="F446"/>
    <hyperlink r:id="rId890" ref="G446"/>
    <hyperlink r:id="rId891" ref="F447"/>
    <hyperlink r:id="rId892" ref="G447"/>
    <hyperlink r:id="rId893" ref="F448"/>
    <hyperlink r:id="rId894" ref="G448"/>
    <hyperlink r:id="rId895" ref="F449"/>
    <hyperlink r:id="rId896" ref="G449"/>
    <hyperlink r:id="rId897" ref="F450"/>
    <hyperlink r:id="rId898" ref="G450"/>
    <hyperlink r:id="rId899" ref="F451"/>
    <hyperlink r:id="rId900" ref="G451"/>
    <hyperlink r:id="rId901" ref="F452"/>
    <hyperlink r:id="rId902" ref="G452"/>
    <hyperlink r:id="rId903" ref="F453"/>
    <hyperlink r:id="rId904" ref="G453"/>
    <hyperlink r:id="rId905" ref="F454"/>
    <hyperlink r:id="rId906" ref="G454"/>
    <hyperlink r:id="rId907" ref="F455"/>
    <hyperlink r:id="rId908" ref="G455"/>
    <hyperlink r:id="rId909" ref="F456"/>
    <hyperlink r:id="rId910" ref="G456"/>
    <hyperlink r:id="rId911" ref="F457"/>
    <hyperlink r:id="rId912" ref="G457"/>
    <hyperlink r:id="rId913" ref="F458"/>
    <hyperlink r:id="rId914" ref="G458"/>
    <hyperlink r:id="rId915" ref="F459"/>
    <hyperlink r:id="rId916" ref="G459"/>
    <hyperlink r:id="rId917" ref="F460"/>
    <hyperlink r:id="rId918" ref="G460"/>
    <hyperlink r:id="rId919" ref="F461"/>
    <hyperlink r:id="rId920" ref="G461"/>
    <hyperlink r:id="rId921" ref="F462"/>
    <hyperlink r:id="rId922" ref="G462"/>
    <hyperlink r:id="rId923" ref="F463"/>
    <hyperlink r:id="rId924" ref="G463"/>
    <hyperlink r:id="rId925" ref="F464"/>
    <hyperlink r:id="rId926" ref="G464"/>
    <hyperlink r:id="rId927" ref="F465"/>
    <hyperlink r:id="rId928" ref="G465"/>
    <hyperlink r:id="rId929" ref="F466"/>
    <hyperlink r:id="rId930" ref="G466"/>
    <hyperlink r:id="rId931" ref="F467"/>
    <hyperlink r:id="rId932" ref="G467"/>
    <hyperlink r:id="rId933" ref="F468"/>
    <hyperlink r:id="rId934" ref="G468"/>
    <hyperlink r:id="rId935" ref="F469"/>
    <hyperlink r:id="rId936" ref="G469"/>
    <hyperlink r:id="rId937" ref="F470"/>
    <hyperlink r:id="rId938" ref="G470"/>
    <hyperlink r:id="rId939" ref="F471"/>
    <hyperlink r:id="rId940" ref="G471"/>
    <hyperlink r:id="rId941" ref="F472"/>
    <hyperlink r:id="rId942" ref="G472"/>
    <hyperlink r:id="rId943" ref="F473"/>
    <hyperlink r:id="rId944" ref="G473"/>
    <hyperlink r:id="rId945" ref="F474"/>
    <hyperlink r:id="rId946" ref="G474"/>
    <hyperlink r:id="rId947" ref="F475"/>
    <hyperlink r:id="rId948" ref="G475"/>
    <hyperlink r:id="rId949" ref="F476"/>
    <hyperlink r:id="rId950" ref="G476"/>
    <hyperlink r:id="rId951" ref="F477"/>
    <hyperlink r:id="rId952" ref="G477"/>
    <hyperlink r:id="rId953" ref="F478"/>
    <hyperlink r:id="rId954" ref="G478"/>
    <hyperlink r:id="rId955" ref="F479"/>
    <hyperlink r:id="rId956" ref="G479"/>
    <hyperlink r:id="rId957" ref="F480"/>
    <hyperlink r:id="rId958" ref="G480"/>
    <hyperlink r:id="rId959" ref="F481"/>
    <hyperlink r:id="rId960" ref="G481"/>
    <hyperlink r:id="rId961" ref="F482"/>
    <hyperlink r:id="rId962" ref="G482"/>
    <hyperlink r:id="rId963" ref="F483"/>
    <hyperlink r:id="rId964" ref="G483"/>
    <hyperlink r:id="rId965" ref="F484"/>
    <hyperlink r:id="rId966" ref="G484"/>
    <hyperlink r:id="rId967" ref="F485"/>
    <hyperlink r:id="rId968" ref="G485"/>
    <hyperlink r:id="rId969" ref="F486"/>
    <hyperlink r:id="rId970" ref="G486"/>
    <hyperlink r:id="rId971" ref="F487"/>
    <hyperlink r:id="rId972" ref="G487"/>
    <hyperlink r:id="rId973" ref="F488"/>
    <hyperlink r:id="rId974" ref="G488"/>
    <hyperlink r:id="rId975" ref="F489"/>
    <hyperlink r:id="rId976" ref="G489"/>
    <hyperlink r:id="rId977" ref="F490"/>
    <hyperlink r:id="rId978" ref="G490"/>
    <hyperlink r:id="rId979" ref="F491"/>
    <hyperlink r:id="rId980" ref="G491"/>
    <hyperlink r:id="rId981" ref="F492"/>
    <hyperlink r:id="rId982" ref="G492"/>
    <hyperlink r:id="rId983" ref="F493"/>
    <hyperlink r:id="rId984" ref="G493"/>
    <hyperlink r:id="rId985" ref="F494"/>
    <hyperlink r:id="rId986" ref="G494"/>
    <hyperlink r:id="rId987" ref="F495"/>
    <hyperlink r:id="rId988" ref="G495"/>
    <hyperlink r:id="rId989" ref="F496"/>
    <hyperlink r:id="rId990" ref="G496"/>
    <hyperlink r:id="rId991" ref="F497"/>
    <hyperlink r:id="rId992" ref="G497"/>
    <hyperlink r:id="rId993" ref="F498"/>
    <hyperlink r:id="rId994" ref="G498"/>
    <hyperlink r:id="rId995" ref="F499"/>
    <hyperlink r:id="rId996" ref="G499"/>
    <hyperlink r:id="rId997" ref="F500"/>
    <hyperlink r:id="rId998" ref="G500"/>
    <hyperlink r:id="rId999" ref="F501"/>
    <hyperlink r:id="rId1000" ref="G501"/>
    <hyperlink r:id="rId1001" ref="F502"/>
    <hyperlink r:id="rId1002" ref="G502"/>
    <hyperlink r:id="rId1003" ref="F503"/>
    <hyperlink r:id="rId1004" ref="G503"/>
    <hyperlink r:id="rId1005" ref="F504"/>
    <hyperlink r:id="rId1006" ref="G504"/>
    <hyperlink r:id="rId1007" ref="F505"/>
    <hyperlink r:id="rId1008" ref="G505"/>
    <hyperlink r:id="rId1009" ref="F506"/>
    <hyperlink r:id="rId1010" ref="G506"/>
    <hyperlink r:id="rId1011" ref="F507"/>
    <hyperlink r:id="rId1012" ref="G507"/>
    <hyperlink r:id="rId1013" ref="F508"/>
    <hyperlink r:id="rId1014" ref="G508"/>
    <hyperlink r:id="rId1015" ref="F509"/>
    <hyperlink r:id="rId1016" ref="G509"/>
    <hyperlink r:id="rId1017" ref="F510"/>
    <hyperlink r:id="rId1018" ref="G510"/>
    <hyperlink r:id="rId1019" ref="F511"/>
    <hyperlink r:id="rId1020" ref="G511"/>
    <hyperlink r:id="rId1021" ref="F512"/>
    <hyperlink r:id="rId1022" ref="G512"/>
    <hyperlink r:id="rId1023" ref="F513"/>
    <hyperlink r:id="rId1024" ref="G513"/>
    <hyperlink r:id="rId1025" ref="F514"/>
    <hyperlink r:id="rId1026" ref="G514"/>
    <hyperlink r:id="rId1027" ref="F515"/>
    <hyperlink r:id="rId1028" ref="G515"/>
    <hyperlink r:id="rId1029" ref="F516"/>
    <hyperlink r:id="rId1030" ref="G516"/>
    <hyperlink r:id="rId1031" ref="F517"/>
    <hyperlink r:id="rId1032" ref="G517"/>
    <hyperlink r:id="rId1033" ref="F518"/>
    <hyperlink r:id="rId1034" ref="G518"/>
    <hyperlink r:id="rId1035" ref="F519"/>
    <hyperlink r:id="rId1036" ref="G519"/>
    <hyperlink r:id="rId1037" ref="F520"/>
    <hyperlink r:id="rId1038" ref="G520"/>
    <hyperlink r:id="rId1039" ref="F521"/>
    <hyperlink r:id="rId1040" ref="G521"/>
    <hyperlink r:id="rId1041" ref="F522"/>
    <hyperlink r:id="rId1042" ref="G522"/>
    <hyperlink r:id="rId1043" ref="F523"/>
    <hyperlink r:id="rId1044" ref="G523"/>
    <hyperlink r:id="rId1045" ref="F524"/>
    <hyperlink r:id="rId1046" ref="G524"/>
    <hyperlink r:id="rId1047" ref="F525"/>
    <hyperlink r:id="rId1048" ref="G525"/>
    <hyperlink r:id="rId1049" ref="F526"/>
    <hyperlink r:id="rId1050" ref="G526"/>
    <hyperlink r:id="rId1051" ref="F527"/>
    <hyperlink r:id="rId1052" ref="G527"/>
    <hyperlink r:id="rId1053" ref="F528"/>
    <hyperlink r:id="rId1054" ref="G528"/>
    <hyperlink r:id="rId1055" ref="F529"/>
    <hyperlink r:id="rId1056" ref="G529"/>
    <hyperlink r:id="rId1057" ref="F530"/>
    <hyperlink r:id="rId1058" ref="G530"/>
    <hyperlink r:id="rId1059" ref="F531"/>
    <hyperlink r:id="rId1060" ref="G531"/>
    <hyperlink r:id="rId1061" ref="F532"/>
    <hyperlink r:id="rId1062" ref="G532"/>
    <hyperlink r:id="rId1063" ref="F533"/>
    <hyperlink r:id="rId1064" ref="G533"/>
    <hyperlink r:id="rId1065" ref="F534"/>
    <hyperlink r:id="rId1066" ref="G534"/>
    <hyperlink r:id="rId1067" ref="F535"/>
    <hyperlink r:id="rId1068" ref="G535"/>
    <hyperlink r:id="rId1069" ref="F536"/>
    <hyperlink r:id="rId1070" ref="G536"/>
    <hyperlink r:id="rId1071" ref="F537"/>
    <hyperlink r:id="rId1072" ref="G537"/>
    <hyperlink r:id="rId1073" ref="F538"/>
    <hyperlink r:id="rId1074" ref="G538"/>
    <hyperlink r:id="rId1075" ref="F539"/>
    <hyperlink r:id="rId1076" ref="G539"/>
    <hyperlink r:id="rId1077" ref="F540"/>
    <hyperlink r:id="rId1078" ref="G540"/>
    <hyperlink r:id="rId1079" ref="F541"/>
    <hyperlink r:id="rId1080" ref="G541"/>
    <hyperlink r:id="rId1081" ref="F542"/>
    <hyperlink r:id="rId1082" ref="G542"/>
    <hyperlink r:id="rId1083" ref="F543"/>
    <hyperlink r:id="rId1084" ref="G543"/>
    <hyperlink r:id="rId1085" ref="F544"/>
    <hyperlink r:id="rId1086" ref="G544"/>
    <hyperlink r:id="rId1087" ref="F545"/>
    <hyperlink r:id="rId1088" ref="G545"/>
    <hyperlink r:id="rId1089" ref="F546"/>
    <hyperlink r:id="rId1090" ref="G546"/>
    <hyperlink r:id="rId1091" ref="F547"/>
    <hyperlink r:id="rId1092" ref="G547"/>
    <hyperlink r:id="rId1093" ref="F548"/>
    <hyperlink r:id="rId1094" ref="G548"/>
    <hyperlink r:id="rId1095" ref="F549"/>
    <hyperlink r:id="rId1096" ref="G549"/>
    <hyperlink r:id="rId1097" ref="F550"/>
    <hyperlink r:id="rId1098" ref="G550"/>
    <hyperlink r:id="rId1099" ref="F551"/>
    <hyperlink r:id="rId1100" ref="G551"/>
    <hyperlink r:id="rId1101" ref="F552"/>
    <hyperlink r:id="rId1102" ref="G552"/>
    <hyperlink r:id="rId1103" ref="F553"/>
    <hyperlink r:id="rId1104" ref="G553"/>
    <hyperlink r:id="rId1105" ref="F554"/>
    <hyperlink r:id="rId1106" ref="G554"/>
    <hyperlink r:id="rId1107" ref="F555"/>
    <hyperlink r:id="rId1108" ref="G555"/>
    <hyperlink r:id="rId1109" ref="F556"/>
    <hyperlink r:id="rId1110" ref="G556"/>
    <hyperlink r:id="rId1111" ref="F557"/>
    <hyperlink r:id="rId1112" ref="G557"/>
    <hyperlink r:id="rId1113" ref="F558"/>
    <hyperlink r:id="rId1114" ref="G558"/>
    <hyperlink r:id="rId1115" ref="F559"/>
    <hyperlink r:id="rId1116" ref="G559"/>
    <hyperlink r:id="rId1117" ref="F560"/>
    <hyperlink r:id="rId1118" ref="G560"/>
    <hyperlink r:id="rId1119" ref="F561"/>
    <hyperlink r:id="rId1120" ref="G561"/>
    <hyperlink r:id="rId1121" ref="F562"/>
    <hyperlink r:id="rId1122" ref="G562"/>
    <hyperlink r:id="rId1123" ref="F563"/>
    <hyperlink r:id="rId1124" ref="G563"/>
    <hyperlink r:id="rId1125" ref="F564"/>
    <hyperlink r:id="rId1126" ref="G564"/>
    <hyperlink r:id="rId1127" ref="F565"/>
    <hyperlink r:id="rId1128" ref="G565"/>
    <hyperlink r:id="rId1129" ref="F566"/>
    <hyperlink r:id="rId1130" ref="G566"/>
    <hyperlink r:id="rId1131" ref="F567"/>
    <hyperlink r:id="rId1132" ref="G567"/>
    <hyperlink r:id="rId1133" ref="F568"/>
    <hyperlink r:id="rId1134" ref="G568"/>
    <hyperlink r:id="rId1135" ref="F569"/>
    <hyperlink r:id="rId1136" ref="G569"/>
    <hyperlink r:id="rId1137" ref="F570"/>
    <hyperlink r:id="rId1138" ref="G570"/>
    <hyperlink r:id="rId1139" ref="F571"/>
    <hyperlink r:id="rId1140" ref="G571"/>
    <hyperlink r:id="rId1141" ref="F572"/>
    <hyperlink r:id="rId1142" ref="G572"/>
    <hyperlink r:id="rId1143" ref="F573"/>
    <hyperlink r:id="rId1144" ref="G573"/>
    <hyperlink r:id="rId1145" ref="F574"/>
    <hyperlink r:id="rId1146" ref="G574"/>
    <hyperlink r:id="rId1147" ref="F575"/>
    <hyperlink r:id="rId1148" ref="G575"/>
    <hyperlink r:id="rId1149" ref="F576"/>
    <hyperlink r:id="rId1150" ref="G576"/>
    <hyperlink r:id="rId1151" ref="F577"/>
    <hyperlink r:id="rId1152" ref="G577"/>
    <hyperlink r:id="rId1153" ref="F578"/>
    <hyperlink r:id="rId1154" ref="G578"/>
    <hyperlink r:id="rId1155" ref="F579"/>
    <hyperlink r:id="rId1156" ref="G579"/>
    <hyperlink r:id="rId1157" ref="F580"/>
    <hyperlink r:id="rId1158" ref="G580"/>
    <hyperlink r:id="rId1159" ref="F581"/>
    <hyperlink r:id="rId1160" ref="G581"/>
    <hyperlink r:id="rId1161" ref="F582"/>
    <hyperlink r:id="rId1162" ref="G582"/>
    <hyperlink r:id="rId1163" ref="F583"/>
    <hyperlink r:id="rId1164" ref="G583"/>
    <hyperlink r:id="rId1165" ref="F584"/>
    <hyperlink r:id="rId1166" ref="G584"/>
    <hyperlink r:id="rId1167" ref="F585"/>
    <hyperlink r:id="rId1168" ref="G585"/>
    <hyperlink r:id="rId1169" ref="F586"/>
    <hyperlink r:id="rId1170" ref="G586"/>
    <hyperlink r:id="rId1171" ref="F587"/>
    <hyperlink r:id="rId1172" ref="G587"/>
    <hyperlink r:id="rId1173" ref="F588"/>
    <hyperlink r:id="rId1174" ref="G588"/>
    <hyperlink r:id="rId1175" ref="F589"/>
    <hyperlink r:id="rId1176" ref="G589"/>
    <hyperlink r:id="rId1177" ref="F590"/>
    <hyperlink r:id="rId1178" ref="G590"/>
    <hyperlink r:id="rId1179" ref="F591"/>
    <hyperlink r:id="rId1180" ref="G591"/>
    <hyperlink r:id="rId1181" ref="F592"/>
    <hyperlink r:id="rId1182" ref="G592"/>
    <hyperlink r:id="rId1183" ref="F593"/>
    <hyperlink r:id="rId1184" ref="G593"/>
    <hyperlink r:id="rId1185" ref="F594"/>
    <hyperlink r:id="rId1186" ref="G594"/>
    <hyperlink r:id="rId1187" ref="F595"/>
    <hyperlink r:id="rId1188" ref="G595"/>
    <hyperlink r:id="rId1189" ref="F596"/>
    <hyperlink r:id="rId1190" ref="G596"/>
    <hyperlink r:id="rId1191" ref="F597"/>
    <hyperlink r:id="rId1192" ref="G597"/>
    <hyperlink r:id="rId1193" ref="F598"/>
    <hyperlink r:id="rId1194" ref="G598"/>
    <hyperlink r:id="rId1195" ref="F599"/>
    <hyperlink r:id="rId1196" ref="G599"/>
    <hyperlink r:id="rId1197" ref="F600"/>
    <hyperlink r:id="rId1198" ref="G600"/>
    <hyperlink r:id="rId1199" ref="F601"/>
    <hyperlink r:id="rId1200" ref="G601"/>
    <hyperlink r:id="rId1201" ref="F602"/>
    <hyperlink r:id="rId1202" ref="G602"/>
    <hyperlink r:id="rId1203" ref="F603"/>
    <hyperlink r:id="rId1204" ref="G603"/>
    <hyperlink r:id="rId1205" ref="F604"/>
    <hyperlink r:id="rId1206" ref="G604"/>
    <hyperlink r:id="rId1207" ref="F605"/>
    <hyperlink r:id="rId1208" ref="G605"/>
    <hyperlink r:id="rId1209" ref="F606"/>
    <hyperlink r:id="rId1210" ref="G606"/>
    <hyperlink r:id="rId1211" ref="F607"/>
    <hyperlink r:id="rId1212" ref="G607"/>
    <hyperlink r:id="rId1213" ref="F608"/>
    <hyperlink r:id="rId1214" ref="G608"/>
    <hyperlink r:id="rId1215" ref="F609"/>
    <hyperlink r:id="rId1216" ref="G609"/>
    <hyperlink r:id="rId1217" ref="F610"/>
    <hyperlink r:id="rId1218" ref="G610"/>
    <hyperlink r:id="rId1219" ref="F611"/>
    <hyperlink r:id="rId1220" ref="G611"/>
    <hyperlink r:id="rId1221" ref="F612"/>
    <hyperlink r:id="rId1222" ref="G612"/>
    <hyperlink r:id="rId1223" ref="F613"/>
    <hyperlink r:id="rId1224" ref="G613"/>
    <hyperlink r:id="rId1225" ref="F614"/>
    <hyperlink r:id="rId1226" ref="G614"/>
    <hyperlink r:id="rId1227" ref="F615"/>
    <hyperlink r:id="rId1228" ref="G615"/>
    <hyperlink r:id="rId1229" ref="F616"/>
    <hyperlink r:id="rId1230" ref="G616"/>
    <hyperlink r:id="rId1231" ref="F617"/>
    <hyperlink r:id="rId1232" ref="G617"/>
    <hyperlink r:id="rId1233" ref="F618"/>
    <hyperlink r:id="rId1234" ref="G618"/>
    <hyperlink r:id="rId1235" ref="F619"/>
    <hyperlink r:id="rId1236" ref="G619"/>
    <hyperlink r:id="rId1237" ref="F620"/>
    <hyperlink r:id="rId1238" ref="G620"/>
    <hyperlink r:id="rId1239" ref="F621"/>
    <hyperlink r:id="rId1240" ref="G621"/>
    <hyperlink r:id="rId1241" ref="F622"/>
    <hyperlink r:id="rId1242" ref="G622"/>
    <hyperlink r:id="rId1243" ref="F623"/>
    <hyperlink r:id="rId1244" ref="G623"/>
    <hyperlink r:id="rId1245" ref="F624"/>
    <hyperlink r:id="rId1246" ref="G624"/>
    <hyperlink r:id="rId1247" ref="F625"/>
    <hyperlink r:id="rId1248" ref="G625"/>
    <hyperlink r:id="rId1249" ref="F626"/>
    <hyperlink r:id="rId1250" ref="G626"/>
    <hyperlink r:id="rId1251" ref="F627"/>
    <hyperlink r:id="rId1252" ref="G627"/>
    <hyperlink r:id="rId1253" ref="F628"/>
    <hyperlink r:id="rId1254" ref="G628"/>
    <hyperlink r:id="rId1255" ref="F629"/>
    <hyperlink r:id="rId1256" ref="G629"/>
    <hyperlink r:id="rId1257" ref="F630"/>
    <hyperlink r:id="rId1258" ref="G630"/>
    <hyperlink r:id="rId1259" ref="F631"/>
    <hyperlink r:id="rId1260" ref="G631"/>
    <hyperlink r:id="rId1261" ref="F632"/>
    <hyperlink r:id="rId1262" ref="G632"/>
    <hyperlink r:id="rId1263" ref="F633"/>
    <hyperlink r:id="rId1264" ref="G633"/>
    <hyperlink r:id="rId1265" ref="F634"/>
    <hyperlink r:id="rId1266" ref="G634"/>
    <hyperlink r:id="rId1267" ref="F635"/>
    <hyperlink r:id="rId1268" ref="G635"/>
    <hyperlink r:id="rId1269" ref="F636"/>
    <hyperlink r:id="rId1270" ref="G636"/>
    <hyperlink r:id="rId1271" ref="F637"/>
    <hyperlink r:id="rId1272" ref="G637"/>
    <hyperlink r:id="rId1273" ref="F638"/>
    <hyperlink r:id="rId1274" ref="G638"/>
    <hyperlink r:id="rId1275" ref="F639"/>
    <hyperlink r:id="rId1276" ref="G639"/>
    <hyperlink r:id="rId1277" ref="F640"/>
    <hyperlink r:id="rId1278" ref="G640"/>
    <hyperlink r:id="rId1279" ref="F641"/>
    <hyperlink r:id="rId1280" ref="G641"/>
    <hyperlink r:id="rId1281" ref="F642"/>
    <hyperlink r:id="rId1282" ref="G642"/>
    <hyperlink r:id="rId1283" ref="F643"/>
    <hyperlink r:id="rId1284" ref="G643"/>
    <hyperlink r:id="rId1285" ref="F644"/>
    <hyperlink r:id="rId1286" ref="G644"/>
    <hyperlink r:id="rId1287" ref="F645"/>
    <hyperlink r:id="rId1288" ref="G645"/>
    <hyperlink r:id="rId1289" ref="F646"/>
    <hyperlink r:id="rId1290" ref="G646"/>
    <hyperlink r:id="rId1291" ref="F647"/>
    <hyperlink r:id="rId1292" ref="G647"/>
    <hyperlink r:id="rId1293" ref="F648"/>
    <hyperlink r:id="rId1294" ref="G648"/>
    <hyperlink r:id="rId1295" ref="F649"/>
    <hyperlink r:id="rId1296" ref="G649"/>
    <hyperlink r:id="rId1297" ref="F650"/>
    <hyperlink r:id="rId1298" ref="G650"/>
    <hyperlink r:id="rId1299" ref="F651"/>
    <hyperlink r:id="rId1300" ref="G651"/>
    <hyperlink r:id="rId1301" ref="F652"/>
    <hyperlink r:id="rId1302" ref="G652"/>
    <hyperlink r:id="rId1303" ref="F653"/>
    <hyperlink r:id="rId1304" ref="G653"/>
    <hyperlink r:id="rId1305" ref="F654"/>
    <hyperlink r:id="rId1306" ref="G654"/>
    <hyperlink r:id="rId1307" ref="F655"/>
    <hyperlink r:id="rId1308" ref="G655"/>
    <hyperlink r:id="rId1309" ref="F656"/>
    <hyperlink r:id="rId1310" ref="G656"/>
    <hyperlink r:id="rId1311" ref="F657"/>
    <hyperlink r:id="rId1312" ref="G657"/>
    <hyperlink r:id="rId1313" ref="F658"/>
    <hyperlink r:id="rId1314" ref="G658"/>
    <hyperlink r:id="rId1315" ref="F659"/>
    <hyperlink r:id="rId1316" ref="G659"/>
    <hyperlink r:id="rId1317" ref="F660"/>
    <hyperlink r:id="rId1318" ref="G660"/>
    <hyperlink r:id="rId1319" ref="F661"/>
    <hyperlink r:id="rId1320" ref="G661"/>
    <hyperlink r:id="rId1321" ref="F662"/>
    <hyperlink r:id="rId1322" ref="G662"/>
    <hyperlink r:id="rId1323" ref="F663"/>
    <hyperlink r:id="rId1324" ref="G663"/>
    <hyperlink r:id="rId1325" ref="F664"/>
    <hyperlink r:id="rId1326" ref="G664"/>
    <hyperlink r:id="rId1327" ref="F665"/>
    <hyperlink r:id="rId1328" ref="G665"/>
    <hyperlink r:id="rId1329" ref="F666"/>
    <hyperlink r:id="rId1330" ref="G666"/>
    <hyperlink r:id="rId1331" ref="F667"/>
    <hyperlink r:id="rId1332" ref="G667"/>
    <hyperlink r:id="rId1333" ref="F668"/>
    <hyperlink r:id="rId1334" ref="G668"/>
    <hyperlink r:id="rId1335" ref="F669"/>
    <hyperlink r:id="rId1336" ref="G669"/>
    <hyperlink r:id="rId1337" ref="F670"/>
    <hyperlink r:id="rId1338" ref="G670"/>
    <hyperlink r:id="rId1339" ref="F671"/>
    <hyperlink r:id="rId1340" ref="G671"/>
    <hyperlink r:id="rId1341" ref="F672"/>
    <hyperlink r:id="rId1342" ref="G672"/>
    <hyperlink r:id="rId1343" ref="F673"/>
    <hyperlink r:id="rId1344" ref="G673"/>
    <hyperlink r:id="rId1345" ref="F674"/>
    <hyperlink r:id="rId1346" ref="G674"/>
    <hyperlink r:id="rId1347" ref="F675"/>
    <hyperlink r:id="rId1348" ref="G675"/>
    <hyperlink r:id="rId1349" ref="F676"/>
    <hyperlink r:id="rId1350" ref="G676"/>
    <hyperlink r:id="rId1351" ref="F677"/>
    <hyperlink r:id="rId1352" ref="G677"/>
    <hyperlink r:id="rId1353" ref="F678"/>
    <hyperlink r:id="rId1354" ref="G678"/>
    <hyperlink r:id="rId1355" ref="F679"/>
    <hyperlink r:id="rId1356" ref="G679"/>
    <hyperlink r:id="rId1357" ref="F680"/>
    <hyperlink r:id="rId1358" ref="G680"/>
    <hyperlink r:id="rId1359" ref="F681"/>
    <hyperlink r:id="rId1360" ref="G681"/>
    <hyperlink r:id="rId1361" ref="F682"/>
    <hyperlink r:id="rId1362" ref="G682"/>
    <hyperlink r:id="rId1363" ref="F683"/>
    <hyperlink r:id="rId1364" ref="G683"/>
    <hyperlink r:id="rId1365" ref="F684"/>
    <hyperlink r:id="rId1366" ref="G684"/>
    <hyperlink r:id="rId1367" ref="F685"/>
    <hyperlink r:id="rId1368" ref="G685"/>
    <hyperlink r:id="rId1369" ref="F686"/>
    <hyperlink r:id="rId1370" ref="G686"/>
    <hyperlink r:id="rId1371" ref="F687"/>
    <hyperlink r:id="rId1372" ref="G687"/>
    <hyperlink r:id="rId1373" ref="F688"/>
    <hyperlink r:id="rId1374" ref="G688"/>
    <hyperlink r:id="rId1375" ref="F689"/>
    <hyperlink r:id="rId1376" ref="G689"/>
    <hyperlink r:id="rId1377" ref="F690"/>
    <hyperlink r:id="rId1378" ref="G690"/>
    <hyperlink r:id="rId1379" ref="F691"/>
    <hyperlink r:id="rId1380" ref="G691"/>
    <hyperlink r:id="rId1381" ref="F692"/>
    <hyperlink r:id="rId1382" ref="G692"/>
    <hyperlink r:id="rId1383" ref="F693"/>
    <hyperlink r:id="rId1384" ref="G693"/>
    <hyperlink r:id="rId1385" ref="F694"/>
    <hyperlink r:id="rId1386" ref="G694"/>
    <hyperlink r:id="rId1387" ref="F695"/>
    <hyperlink r:id="rId1388" ref="G695"/>
    <hyperlink r:id="rId1389" ref="F696"/>
    <hyperlink r:id="rId1390" ref="G696"/>
    <hyperlink r:id="rId1391" ref="F697"/>
    <hyperlink r:id="rId1392" ref="G697"/>
    <hyperlink r:id="rId1393" ref="F698"/>
    <hyperlink r:id="rId1394" ref="G698"/>
    <hyperlink r:id="rId1395" ref="F699"/>
    <hyperlink r:id="rId1396" ref="G699"/>
    <hyperlink r:id="rId1397" ref="F700"/>
    <hyperlink r:id="rId1398" ref="G700"/>
    <hyperlink r:id="rId1399" ref="F701"/>
    <hyperlink r:id="rId1400" ref="G701"/>
    <hyperlink r:id="rId1401" ref="F702"/>
    <hyperlink r:id="rId1402" ref="G702"/>
    <hyperlink r:id="rId1403" ref="F703"/>
    <hyperlink r:id="rId1404" ref="G703"/>
    <hyperlink r:id="rId1405" ref="F704"/>
    <hyperlink r:id="rId1406" ref="G704"/>
    <hyperlink r:id="rId1407" ref="F705"/>
    <hyperlink r:id="rId1408" ref="G705"/>
    <hyperlink r:id="rId1409" ref="F706"/>
    <hyperlink r:id="rId1410" ref="G706"/>
    <hyperlink r:id="rId1411" ref="F707"/>
    <hyperlink r:id="rId1412" ref="G707"/>
    <hyperlink r:id="rId1413" ref="F708"/>
    <hyperlink r:id="rId1414" ref="G708"/>
    <hyperlink r:id="rId1415" ref="F709"/>
    <hyperlink r:id="rId1416" ref="G709"/>
    <hyperlink r:id="rId1417" ref="F710"/>
    <hyperlink r:id="rId1418" ref="G710"/>
    <hyperlink r:id="rId1419" ref="F711"/>
    <hyperlink r:id="rId1420" ref="G711"/>
    <hyperlink r:id="rId1421" ref="F712"/>
    <hyperlink r:id="rId1422" ref="G712"/>
    <hyperlink r:id="rId1423" ref="F713"/>
    <hyperlink r:id="rId1424" ref="G713"/>
    <hyperlink r:id="rId1425" ref="F714"/>
    <hyperlink r:id="rId1426" ref="G714"/>
    <hyperlink r:id="rId1427" ref="F715"/>
    <hyperlink r:id="rId1428" ref="G715"/>
    <hyperlink r:id="rId1429" ref="F716"/>
    <hyperlink r:id="rId1430" ref="G716"/>
    <hyperlink r:id="rId1431" ref="F717"/>
    <hyperlink r:id="rId1432" ref="G717"/>
    <hyperlink r:id="rId1433" ref="F718"/>
    <hyperlink r:id="rId1434" ref="G718"/>
    <hyperlink r:id="rId1435" ref="F719"/>
    <hyperlink r:id="rId1436" ref="G719"/>
    <hyperlink r:id="rId1437" ref="F720"/>
    <hyperlink r:id="rId1438" ref="G720"/>
    <hyperlink r:id="rId1439" ref="F721"/>
    <hyperlink r:id="rId1440" ref="G721"/>
    <hyperlink r:id="rId1441" ref="F722"/>
    <hyperlink r:id="rId1442" ref="G722"/>
    <hyperlink r:id="rId1443" ref="F723"/>
    <hyperlink r:id="rId1444" ref="G723"/>
    <hyperlink r:id="rId1445" ref="F724"/>
    <hyperlink r:id="rId1446" ref="G724"/>
    <hyperlink r:id="rId1447" ref="F725"/>
    <hyperlink r:id="rId1448" ref="G725"/>
    <hyperlink r:id="rId1449" ref="F726"/>
    <hyperlink r:id="rId1450" ref="G726"/>
    <hyperlink r:id="rId1451" ref="F727"/>
    <hyperlink r:id="rId1452" ref="G727"/>
    <hyperlink r:id="rId1453" ref="F728"/>
    <hyperlink r:id="rId1454" ref="G728"/>
    <hyperlink r:id="rId1455" ref="F729"/>
    <hyperlink r:id="rId1456" ref="G729"/>
    <hyperlink r:id="rId1457" ref="F730"/>
    <hyperlink r:id="rId1458" ref="G730"/>
    <hyperlink r:id="rId1459" ref="F731"/>
    <hyperlink r:id="rId1460" ref="G731"/>
    <hyperlink r:id="rId1461" ref="F732"/>
    <hyperlink r:id="rId1462" ref="G732"/>
    <hyperlink r:id="rId1463" ref="F733"/>
    <hyperlink r:id="rId1464" ref="G733"/>
    <hyperlink r:id="rId1465" ref="F734"/>
    <hyperlink r:id="rId1466" ref="G734"/>
    <hyperlink r:id="rId1467" ref="F735"/>
    <hyperlink r:id="rId1468" ref="G735"/>
    <hyperlink r:id="rId1469" ref="F736"/>
    <hyperlink r:id="rId1470" ref="G736"/>
    <hyperlink r:id="rId1471" ref="F737"/>
    <hyperlink r:id="rId1472" ref="G737"/>
    <hyperlink r:id="rId1473" ref="F738"/>
    <hyperlink r:id="rId1474" ref="G738"/>
    <hyperlink r:id="rId1475" ref="F739"/>
    <hyperlink r:id="rId1476" ref="G739"/>
    <hyperlink r:id="rId1477" ref="F740"/>
    <hyperlink r:id="rId1478" ref="G740"/>
    <hyperlink r:id="rId1479" ref="F741"/>
    <hyperlink r:id="rId1480" ref="G741"/>
    <hyperlink r:id="rId1481" ref="F742"/>
    <hyperlink r:id="rId1482" ref="G742"/>
    <hyperlink r:id="rId1483" ref="F743"/>
    <hyperlink r:id="rId1484" ref="G743"/>
    <hyperlink r:id="rId1485" ref="F744"/>
    <hyperlink r:id="rId1486" ref="G744"/>
    <hyperlink r:id="rId1487" ref="F745"/>
    <hyperlink r:id="rId1488" ref="G745"/>
    <hyperlink r:id="rId1489" ref="F746"/>
    <hyperlink r:id="rId1490" ref="G746"/>
    <hyperlink r:id="rId1491" ref="F747"/>
    <hyperlink r:id="rId1492" ref="G747"/>
    <hyperlink r:id="rId1493" ref="F748"/>
    <hyperlink r:id="rId1494" ref="G748"/>
    <hyperlink r:id="rId1495" ref="F749"/>
    <hyperlink r:id="rId1496" ref="G749"/>
    <hyperlink r:id="rId1497" ref="F750"/>
    <hyperlink r:id="rId1498" ref="G750"/>
    <hyperlink r:id="rId1499" ref="F751"/>
    <hyperlink r:id="rId1500" ref="G751"/>
    <hyperlink r:id="rId1501" ref="F752"/>
    <hyperlink r:id="rId1502" ref="G752"/>
    <hyperlink r:id="rId1503" ref="F753"/>
    <hyperlink r:id="rId1504" ref="G753"/>
    <hyperlink r:id="rId1505" ref="F754"/>
    <hyperlink r:id="rId1506" ref="G754"/>
    <hyperlink r:id="rId1507" ref="F755"/>
    <hyperlink r:id="rId1508" ref="G755"/>
    <hyperlink r:id="rId1509" ref="F756"/>
    <hyperlink r:id="rId1510" ref="G756"/>
    <hyperlink r:id="rId1511" ref="F757"/>
    <hyperlink r:id="rId1512" ref="G757"/>
    <hyperlink r:id="rId1513" ref="F758"/>
    <hyperlink r:id="rId1514" ref="G758"/>
    <hyperlink r:id="rId1515" ref="F759"/>
    <hyperlink r:id="rId1516" ref="G759"/>
    <hyperlink r:id="rId1517" ref="F760"/>
    <hyperlink r:id="rId1518" ref="G760"/>
    <hyperlink r:id="rId1519" ref="F761"/>
    <hyperlink r:id="rId1520" ref="G761"/>
    <hyperlink r:id="rId1521" ref="F762"/>
    <hyperlink r:id="rId1522" ref="G762"/>
    <hyperlink r:id="rId1523" ref="F763"/>
    <hyperlink r:id="rId1524" ref="G763"/>
    <hyperlink r:id="rId1525" ref="F764"/>
    <hyperlink r:id="rId1526" ref="G764"/>
    <hyperlink r:id="rId1527" ref="F765"/>
    <hyperlink r:id="rId1528" ref="G765"/>
    <hyperlink r:id="rId1529" ref="F766"/>
    <hyperlink r:id="rId1530" ref="G766"/>
    <hyperlink r:id="rId1531" ref="F767"/>
    <hyperlink r:id="rId1532" ref="G767"/>
    <hyperlink r:id="rId1533" ref="F768"/>
    <hyperlink r:id="rId1534" ref="G768"/>
    <hyperlink r:id="rId1535" ref="F769"/>
    <hyperlink r:id="rId1536" ref="G769"/>
    <hyperlink r:id="rId1537" ref="F770"/>
    <hyperlink r:id="rId1538" ref="G770"/>
    <hyperlink r:id="rId1539" ref="F771"/>
    <hyperlink r:id="rId1540" ref="G771"/>
    <hyperlink r:id="rId1541" ref="F772"/>
    <hyperlink r:id="rId1542" ref="G772"/>
    <hyperlink r:id="rId1543" ref="F773"/>
    <hyperlink r:id="rId1544" ref="G773"/>
    <hyperlink r:id="rId1545" ref="F774"/>
    <hyperlink r:id="rId1546" ref="G774"/>
    <hyperlink r:id="rId1547" ref="F775"/>
    <hyperlink r:id="rId1548" ref="G775"/>
    <hyperlink r:id="rId1549" ref="F776"/>
    <hyperlink r:id="rId1550" ref="G776"/>
    <hyperlink r:id="rId1551" ref="F777"/>
    <hyperlink r:id="rId1552" ref="G777"/>
    <hyperlink r:id="rId1553" ref="F778"/>
    <hyperlink r:id="rId1554" ref="G778"/>
    <hyperlink r:id="rId1555" ref="F779"/>
    <hyperlink r:id="rId1556" ref="G779"/>
    <hyperlink r:id="rId1557" ref="F780"/>
    <hyperlink r:id="rId1558" ref="G780"/>
    <hyperlink r:id="rId1559" ref="F781"/>
    <hyperlink r:id="rId1560" ref="G781"/>
    <hyperlink r:id="rId1561" ref="F782"/>
    <hyperlink r:id="rId1562" ref="G782"/>
    <hyperlink r:id="rId1563" ref="F783"/>
    <hyperlink r:id="rId1564" ref="G783"/>
    <hyperlink r:id="rId1565" ref="F784"/>
    <hyperlink r:id="rId1566" ref="G784"/>
    <hyperlink r:id="rId1567" ref="F785"/>
    <hyperlink r:id="rId1568" ref="G785"/>
    <hyperlink r:id="rId1569" ref="F786"/>
    <hyperlink r:id="rId1570" ref="G786"/>
    <hyperlink r:id="rId1571" ref="F787"/>
    <hyperlink r:id="rId1572" ref="G787"/>
    <hyperlink r:id="rId1573" ref="F788"/>
    <hyperlink r:id="rId1574" ref="G788"/>
    <hyperlink r:id="rId1575" ref="F789"/>
    <hyperlink r:id="rId1576" ref="G789"/>
    <hyperlink r:id="rId1577" ref="F790"/>
    <hyperlink r:id="rId1578" ref="G790"/>
    <hyperlink r:id="rId1579" ref="F791"/>
    <hyperlink r:id="rId1580" ref="G791"/>
    <hyperlink r:id="rId1581" ref="F792"/>
    <hyperlink r:id="rId1582" ref="G792"/>
    <hyperlink r:id="rId1583" ref="F793"/>
    <hyperlink r:id="rId1584" ref="G793"/>
    <hyperlink r:id="rId1585" ref="F794"/>
    <hyperlink r:id="rId1586" ref="G794"/>
    <hyperlink r:id="rId1587" ref="F795"/>
    <hyperlink r:id="rId1588" ref="G795"/>
    <hyperlink r:id="rId1589" ref="F796"/>
    <hyperlink r:id="rId1590" ref="G796"/>
    <hyperlink r:id="rId1591" ref="F797"/>
    <hyperlink r:id="rId1592" ref="G797"/>
    <hyperlink r:id="rId1593" ref="F798"/>
    <hyperlink r:id="rId1594" ref="G798"/>
    <hyperlink r:id="rId1595" ref="F799"/>
    <hyperlink r:id="rId1596" ref="G799"/>
    <hyperlink r:id="rId1597" ref="F800"/>
    <hyperlink r:id="rId1598" ref="G800"/>
    <hyperlink r:id="rId1599" ref="F801"/>
    <hyperlink r:id="rId1600" ref="G801"/>
    <hyperlink r:id="rId1601" ref="F802"/>
    <hyperlink r:id="rId1602" ref="G802"/>
    <hyperlink r:id="rId1603" ref="F803"/>
    <hyperlink r:id="rId1604" ref="G803"/>
    <hyperlink r:id="rId1605" ref="F804"/>
    <hyperlink r:id="rId1606" ref="G804"/>
    <hyperlink r:id="rId1607" ref="F805"/>
    <hyperlink r:id="rId1608" ref="G805"/>
    <hyperlink r:id="rId1609" ref="F806"/>
    <hyperlink r:id="rId1610" ref="G806"/>
    <hyperlink r:id="rId1611" ref="F807"/>
    <hyperlink r:id="rId1612" ref="G807"/>
    <hyperlink r:id="rId1613" ref="F808"/>
    <hyperlink r:id="rId1614" ref="G808"/>
    <hyperlink r:id="rId1615" ref="F809"/>
    <hyperlink r:id="rId1616" ref="G809"/>
    <hyperlink r:id="rId1617" ref="F810"/>
    <hyperlink r:id="rId1618" ref="G810"/>
    <hyperlink r:id="rId1619" ref="F811"/>
    <hyperlink r:id="rId1620" ref="G811"/>
    <hyperlink r:id="rId1621" ref="F812"/>
    <hyperlink r:id="rId1622" ref="G812"/>
    <hyperlink r:id="rId1623" ref="F813"/>
    <hyperlink r:id="rId1624" ref="G813"/>
    <hyperlink r:id="rId1625" ref="F814"/>
    <hyperlink r:id="rId1626" ref="G814"/>
    <hyperlink r:id="rId1627" ref="F815"/>
    <hyperlink r:id="rId1628" ref="G815"/>
    <hyperlink r:id="rId1629" ref="F816"/>
    <hyperlink r:id="rId1630" ref="G816"/>
    <hyperlink r:id="rId1631" ref="F817"/>
    <hyperlink r:id="rId1632" ref="G817"/>
    <hyperlink r:id="rId1633" ref="F818"/>
    <hyperlink r:id="rId1634" ref="G818"/>
    <hyperlink r:id="rId1635" ref="F819"/>
    <hyperlink r:id="rId1636" ref="G819"/>
    <hyperlink r:id="rId1637" ref="F820"/>
    <hyperlink r:id="rId1638" ref="G820"/>
    <hyperlink r:id="rId1639" ref="F821"/>
    <hyperlink r:id="rId1640" ref="G821"/>
    <hyperlink r:id="rId1641" ref="F822"/>
    <hyperlink r:id="rId1642" ref="G822"/>
    <hyperlink r:id="rId1643" ref="F823"/>
    <hyperlink r:id="rId1644" ref="G823"/>
    <hyperlink r:id="rId1645" ref="F824"/>
    <hyperlink r:id="rId1646" ref="G824"/>
    <hyperlink r:id="rId1647" ref="F825"/>
    <hyperlink r:id="rId1648" ref="G825"/>
    <hyperlink r:id="rId1649" ref="F826"/>
    <hyperlink r:id="rId1650" ref="G826"/>
    <hyperlink r:id="rId1651" ref="F827"/>
    <hyperlink r:id="rId1652" ref="G827"/>
    <hyperlink r:id="rId1653" ref="F828"/>
    <hyperlink r:id="rId1654" ref="G828"/>
    <hyperlink r:id="rId1655" ref="F829"/>
    <hyperlink r:id="rId1656" ref="G829"/>
    <hyperlink r:id="rId1657" ref="F830"/>
    <hyperlink r:id="rId1658" ref="G830"/>
    <hyperlink r:id="rId1659" ref="F831"/>
    <hyperlink r:id="rId1660" ref="G831"/>
    <hyperlink r:id="rId1661" ref="F832"/>
    <hyperlink r:id="rId1662" ref="G832"/>
    <hyperlink r:id="rId1663" ref="F833"/>
    <hyperlink r:id="rId1664" ref="G833"/>
    <hyperlink r:id="rId1665" ref="F834"/>
    <hyperlink r:id="rId1666" ref="G834"/>
    <hyperlink r:id="rId1667" ref="F835"/>
    <hyperlink r:id="rId1668" ref="G835"/>
    <hyperlink r:id="rId1669" ref="F836"/>
    <hyperlink r:id="rId1670" ref="G836"/>
    <hyperlink r:id="rId1671" ref="F837"/>
    <hyperlink r:id="rId1672" ref="G837"/>
    <hyperlink r:id="rId1673" ref="F838"/>
    <hyperlink r:id="rId1674" ref="G838"/>
    <hyperlink r:id="rId1675" ref="F839"/>
    <hyperlink r:id="rId1676" ref="G839"/>
    <hyperlink r:id="rId1677" ref="F840"/>
    <hyperlink r:id="rId1678" ref="G840"/>
    <hyperlink r:id="rId1679" ref="F841"/>
    <hyperlink r:id="rId1680" ref="G841"/>
    <hyperlink r:id="rId1681" ref="F842"/>
    <hyperlink r:id="rId1682" ref="G842"/>
    <hyperlink r:id="rId1683" ref="F843"/>
    <hyperlink r:id="rId1684" ref="G843"/>
    <hyperlink r:id="rId1685" ref="F844"/>
    <hyperlink r:id="rId1686" ref="G844"/>
    <hyperlink r:id="rId1687" ref="F845"/>
    <hyperlink r:id="rId1688" ref="G845"/>
    <hyperlink r:id="rId1689" ref="F846"/>
    <hyperlink r:id="rId1690" ref="G846"/>
    <hyperlink r:id="rId1691" ref="F847"/>
    <hyperlink r:id="rId1692" ref="G847"/>
    <hyperlink r:id="rId1693" ref="F848"/>
    <hyperlink r:id="rId1694" ref="G848"/>
    <hyperlink r:id="rId1695" ref="F849"/>
    <hyperlink r:id="rId1696" ref="G849"/>
    <hyperlink r:id="rId1697" ref="F850"/>
    <hyperlink r:id="rId1698" ref="G850"/>
    <hyperlink r:id="rId1699" ref="F851"/>
    <hyperlink r:id="rId1700" ref="G851"/>
    <hyperlink r:id="rId1701" ref="F852"/>
    <hyperlink r:id="rId1702" ref="G852"/>
    <hyperlink r:id="rId1703" ref="F853"/>
    <hyperlink r:id="rId1704" ref="G853"/>
    <hyperlink r:id="rId1705" ref="F854"/>
    <hyperlink r:id="rId1706" ref="G854"/>
    <hyperlink r:id="rId1707" ref="F855"/>
    <hyperlink r:id="rId1708" ref="G855"/>
    <hyperlink r:id="rId1709" ref="F856"/>
    <hyperlink r:id="rId1710" ref="G856"/>
    <hyperlink r:id="rId1711" ref="F857"/>
    <hyperlink r:id="rId1712" ref="G857"/>
    <hyperlink r:id="rId1713" ref="F858"/>
    <hyperlink r:id="rId1714" ref="G858"/>
    <hyperlink r:id="rId1715" ref="F859"/>
    <hyperlink r:id="rId1716" ref="G859"/>
    <hyperlink r:id="rId1717" ref="F860"/>
    <hyperlink r:id="rId1718" ref="G860"/>
    <hyperlink r:id="rId1719" ref="F861"/>
    <hyperlink r:id="rId1720" ref="G861"/>
    <hyperlink r:id="rId1721" ref="F862"/>
    <hyperlink r:id="rId1722" ref="G862"/>
    <hyperlink r:id="rId1723" ref="F863"/>
    <hyperlink r:id="rId1724" ref="G863"/>
    <hyperlink r:id="rId1725" ref="F864"/>
    <hyperlink r:id="rId1726" ref="G864"/>
    <hyperlink r:id="rId1727" ref="F865"/>
    <hyperlink r:id="rId1728" ref="G865"/>
  </hyperlinks>
  <drawing r:id="rId17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8.0"/>
    <col customWidth="1" min="3" max="3" width="32.63"/>
    <col customWidth="1" min="4" max="4" width="18.38"/>
    <col customWidth="1" min="5" max="5" width="17.25"/>
    <col customWidth="1" min="6" max="6" width="18.63"/>
    <col customWidth="1" min="7" max="7" width="21.25"/>
  </cols>
  <sheetData>
    <row r="1">
      <c r="A1" s="10" t="s">
        <v>4383</v>
      </c>
      <c r="B1" s="10" t="s">
        <v>4384</v>
      </c>
      <c r="C1" s="10" t="s">
        <v>4385</v>
      </c>
      <c r="D1" s="10" t="s">
        <v>4386</v>
      </c>
      <c r="E1" s="10" t="s">
        <v>4387</v>
      </c>
      <c r="F1" s="10" t="s">
        <v>4388</v>
      </c>
      <c r="G1" s="10" t="s">
        <v>4389</v>
      </c>
    </row>
    <row r="2">
      <c r="A2" s="10" t="s">
        <v>4390</v>
      </c>
      <c r="B2" s="10" t="s">
        <v>4391</v>
      </c>
      <c r="C2" s="10" t="s">
        <v>4392</v>
      </c>
      <c r="D2" s="11">
        <v>46104.52812469908</v>
      </c>
      <c r="E2" s="12">
        <v>0.0</v>
      </c>
      <c r="F2" s="10">
        <v>0.0</v>
      </c>
      <c r="G2" s="10" t="s">
        <v>4393</v>
      </c>
    </row>
    <row r="3">
      <c r="A3" s="10" t="s">
        <v>4391</v>
      </c>
      <c r="B3" s="10" t="s">
        <v>135</v>
      </c>
      <c r="C3" s="10" t="s">
        <v>136</v>
      </c>
      <c r="D3" s="11">
        <v>46104.52812952547</v>
      </c>
      <c r="E3" s="12">
        <v>22.0</v>
      </c>
      <c r="F3" s="10">
        <v>0.0</v>
      </c>
      <c r="G3" s="10" t="s">
        <v>4393</v>
      </c>
    </row>
    <row r="4">
      <c r="A4" s="10" t="s">
        <v>4391</v>
      </c>
      <c r="B4" s="10" t="s">
        <v>177</v>
      </c>
      <c r="C4" s="10" t="s">
        <v>178</v>
      </c>
      <c r="D4" s="11">
        <v>46104.52813594908</v>
      </c>
      <c r="E4" s="12">
        <v>10.0</v>
      </c>
      <c r="F4" s="10">
        <v>0.0</v>
      </c>
      <c r="G4" s="10" t="s">
        <v>4393</v>
      </c>
    </row>
    <row r="5">
      <c r="A5" s="10" t="s">
        <v>177</v>
      </c>
      <c r="B5" s="10" t="s">
        <v>4394</v>
      </c>
      <c r="C5" s="10" t="s">
        <v>4395</v>
      </c>
      <c r="D5" s="11">
        <v>46104.52814178241</v>
      </c>
      <c r="E5" s="12">
        <v>0.0</v>
      </c>
      <c r="F5" s="10">
        <v>0.0</v>
      </c>
      <c r="G5" s="10" t="s">
        <v>4396</v>
      </c>
    </row>
    <row r="6">
      <c r="A6" s="10" t="s">
        <v>4391</v>
      </c>
      <c r="B6" s="10" t="s">
        <v>4397</v>
      </c>
      <c r="C6" s="10" t="s">
        <v>4398</v>
      </c>
      <c r="D6" s="11">
        <v>46104.52814185186</v>
      </c>
      <c r="E6" s="12">
        <v>0.0</v>
      </c>
      <c r="F6" s="10">
        <v>0.0</v>
      </c>
      <c r="G6" s="10" t="s">
        <v>4393</v>
      </c>
    </row>
    <row r="7">
      <c r="A7" s="10" t="s">
        <v>4397</v>
      </c>
      <c r="B7" s="10" t="s">
        <v>1055</v>
      </c>
      <c r="C7" s="10" t="s">
        <v>1056</v>
      </c>
      <c r="D7" s="11">
        <v>46104.52814645834</v>
      </c>
      <c r="E7" s="12">
        <v>5.0</v>
      </c>
      <c r="F7" s="10">
        <v>0.0</v>
      </c>
      <c r="G7" s="10" t="s">
        <v>4393</v>
      </c>
    </row>
    <row r="8">
      <c r="A8" s="10" t="s">
        <v>4397</v>
      </c>
      <c r="B8" s="10" t="s">
        <v>2786</v>
      </c>
      <c r="C8" s="10" t="s">
        <v>2787</v>
      </c>
      <c r="D8" s="11">
        <v>46104.52815032407</v>
      </c>
      <c r="E8" s="12">
        <v>2.0</v>
      </c>
      <c r="F8" s="10">
        <v>0.0</v>
      </c>
      <c r="G8" s="10" t="s">
        <v>4393</v>
      </c>
    </row>
    <row r="9">
      <c r="A9" s="10" t="s">
        <v>4397</v>
      </c>
      <c r="B9" s="10" t="s">
        <v>272</v>
      </c>
      <c r="C9" s="10" t="s">
        <v>273</v>
      </c>
      <c r="D9" s="11">
        <v>46104.52815449074</v>
      </c>
      <c r="E9" s="12">
        <v>12.0</v>
      </c>
      <c r="F9" s="10">
        <v>0.0</v>
      </c>
      <c r="G9" s="10" t="s">
        <v>4393</v>
      </c>
    </row>
    <row r="10">
      <c r="A10" s="10" t="s">
        <v>4397</v>
      </c>
      <c r="B10" s="10" t="s">
        <v>4181</v>
      </c>
      <c r="C10" s="10" t="s">
        <v>4182</v>
      </c>
      <c r="D10" s="11">
        <v>46104.528159837966</v>
      </c>
      <c r="E10" s="12">
        <v>5.0</v>
      </c>
      <c r="F10" s="10">
        <v>0.0</v>
      </c>
      <c r="G10" s="10" t="s">
        <v>4393</v>
      </c>
    </row>
    <row r="11">
      <c r="A11" s="10" t="s">
        <v>4397</v>
      </c>
      <c r="B11" s="10" t="s">
        <v>121</v>
      </c>
      <c r="C11" s="10" t="s">
        <v>122</v>
      </c>
      <c r="D11" s="11">
        <v>46104.52816425926</v>
      </c>
      <c r="E11" s="12">
        <v>9.0</v>
      </c>
      <c r="F11" s="10">
        <v>0.0</v>
      </c>
      <c r="G11" s="10" t="s">
        <v>4393</v>
      </c>
    </row>
    <row r="12">
      <c r="A12" s="10" t="s">
        <v>4397</v>
      </c>
      <c r="B12" s="10" t="s">
        <v>405</v>
      </c>
      <c r="C12" s="10" t="s">
        <v>406</v>
      </c>
      <c r="D12" s="11">
        <v>46104.52816809028</v>
      </c>
      <c r="E12" s="12">
        <v>9.0</v>
      </c>
      <c r="F12" s="10">
        <v>0.0</v>
      </c>
      <c r="G12" s="10" t="s">
        <v>4393</v>
      </c>
    </row>
    <row r="13">
      <c r="A13" s="10" t="s">
        <v>4397</v>
      </c>
      <c r="B13" s="10" t="s">
        <v>234</v>
      </c>
      <c r="C13" s="10" t="s">
        <v>235</v>
      </c>
      <c r="D13" s="11">
        <v>46104.52817291667</v>
      </c>
      <c r="E13" s="12">
        <v>8.0</v>
      </c>
      <c r="F13" s="10">
        <v>0.0</v>
      </c>
      <c r="G13" s="10" t="s">
        <v>4393</v>
      </c>
    </row>
    <row r="14">
      <c r="A14" s="10" t="s">
        <v>4397</v>
      </c>
      <c r="B14" s="10" t="s">
        <v>427</v>
      </c>
      <c r="C14" s="10" t="s">
        <v>428</v>
      </c>
      <c r="D14" s="11">
        <v>46104.52817723379</v>
      </c>
      <c r="E14" s="12">
        <v>7.0</v>
      </c>
      <c r="F14" s="10">
        <v>0.0</v>
      </c>
      <c r="G14" s="10" t="s">
        <v>4393</v>
      </c>
    </row>
    <row r="15">
      <c r="A15" s="10" t="s">
        <v>4397</v>
      </c>
      <c r="B15" s="10" t="s">
        <v>646</v>
      </c>
      <c r="C15" s="10" t="s">
        <v>647</v>
      </c>
      <c r="D15" s="11">
        <v>46104.5281812037</v>
      </c>
      <c r="E15" s="12">
        <v>8.0</v>
      </c>
      <c r="F15" s="10">
        <v>0.0</v>
      </c>
      <c r="G15" s="10" t="s">
        <v>4393</v>
      </c>
    </row>
    <row r="16">
      <c r="A16" s="10" t="s">
        <v>4391</v>
      </c>
      <c r="B16" s="10" t="s">
        <v>4399</v>
      </c>
      <c r="C16" s="10" t="s">
        <v>4400</v>
      </c>
      <c r="D16" s="11">
        <v>46104.52818782408</v>
      </c>
      <c r="E16" s="12">
        <v>0.0</v>
      </c>
      <c r="F16" s="10">
        <v>0.0</v>
      </c>
      <c r="G16" s="10" t="s">
        <v>4393</v>
      </c>
    </row>
    <row r="17">
      <c r="A17" s="10" t="s">
        <v>4399</v>
      </c>
      <c r="B17" s="10" t="s">
        <v>798</v>
      </c>
      <c r="C17" s="10" t="s">
        <v>799</v>
      </c>
      <c r="D17" s="11">
        <v>46104.52819199074</v>
      </c>
      <c r="E17" s="12">
        <v>18.0</v>
      </c>
      <c r="F17" s="10">
        <v>0.0</v>
      </c>
      <c r="G17" s="10" t="s">
        <v>4393</v>
      </c>
    </row>
    <row r="18">
      <c r="A18" s="10" t="s">
        <v>4399</v>
      </c>
      <c r="B18" s="10" t="s">
        <v>2059</v>
      </c>
      <c r="C18" s="10" t="s">
        <v>2060</v>
      </c>
      <c r="D18" s="11">
        <v>46104.528196875</v>
      </c>
      <c r="E18" s="12">
        <v>9.0</v>
      </c>
      <c r="F18" s="10">
        <v>0.0</v>
      </c>
      <c r="G18" s="10" t="s">
        <v>4393</v>
      </c>
    </row>
    <row r="19">
      <c r="A19" s="10" t="s">
        <v>4399</v>
      </c>
      <c r="B19" s="10" t="s">
        <v>449</v>
      </c>
      <c r="C19" s="10" t="s">
        <v>450</v>
      </c>
      <c r="D19" s="11">
        <v>46104.52820122685</v>
      </c>
      <c r="E19" s="12">
        <v>14.0</v>
      </c>
      <c r="F19" s="10">
        <v>0.0</v>
      </c>
      <c r="G19" s="10" t="s">
        <v>4393</v>
      </c>
    </row>
    <row r="20">
      <c r="A20" s="10" t="s">
        <v>4399</v>
      </c>
      <c r="B20" s="10" t="s">
        <v>820</v>
      </c>
      <c r="C20" s="10" t="s">
        <v>821</v>
      </c>
      <c r="D20" s="11">
        <v>46104.528207870375</v>
      </c>
      <c r="E20" s="12">
        <v>29.0</v>
      </c>
      <c r="F20" s="10">
        <v>0.0</v>
      </c>
      <c r="G20" s="10" t="s">
        <v>4393</v>
      </c>
    </row>
    <row r="21">
      <c r="A21" s="10" t="s">
        <v>4399</v>
      </c>
      <c r="B21" s="10" t="s">
        <v>311</v>
      </c>
      <c r="C21" s="10" t="s">
        <v>312</v>
      </c>
      <c r="D21" s="11">
        <v>46104.52821329861</v>
      </c>
      <c r="E21" s="12">
        <v>5.0</v>
      </c>
      <c r="F21" s="10">
        <v>0.0</v>
      </c>
      <c r="G21" s="10" t="s">
        <v>4393</v>
      </c>
    </row>
    <row r="22">
      <c r="A22" s="10" t="s">
        <v>4399</v>
      </c>
      <c r="B22" s="10" t="s">
        <v>304</v>
      </c>
      <c r="C22" s="10" t="s">
        <v>305</v>
      </c>
      <c r="D22" s="11">
        <v>46104.528217141204</v>
      </c>
      <c r="E22" s="12">
        <v>9.0</v>
      </c>
      <c r="F22" s="10">
        <v>0.0</v>
      </c>
      <c r="G22" s="10" t="s">
        <v>4393</v>
      </c>
    </row>
    <row r="23">
      <c r="A23" s="10" t="s">
        <v>4399</v>
      </c>
      <c r="B23" s="10" t="s">
        <v>128</v>
      </c>
      <c r="C23" s="10" t="s">
        <v>129</v>
      </c>
      <c r="D23" s="11">
        <v>46104.52822179398</v>
      </c>
      <c r="E23" s="12">
        <v>44.0</v>
      </c>
      <c r="F23" s="10">
        <v>0.0</v>
      </c>
      <c r="G23" s="10" t="s">
        <v>4393</v>
      </c>
    </row>
    <row r="24">
      <c r="A24" s="10" t="s">
        <v>128</v>
      </c>
      <c r="B24" s="10" t="s">
        <v>4394</v>
      </c>
      <c r="C24" s="10" t="s">
        <v>4401</v>
      </c>
      <c r="D24" s="11">
        <v>46104.528229143514</v>
      </c>
      <c r="E24" s="12">
        <v>0.0</v>
      </c>
      <c r="F24" s="10">
        <v>0.0</v>
      </c>
      <c r="G24" s="10" t="s">
        <v>4396</v>
      </c>
    </row>
    <row r="25">
      <c r="A25" s="10" t="s">
        <v>4399</v>
      </c>
      <c r="B25" s="10" t="s">
        <v>92</v>
      </c>
      <c r="C25" s="10" t="s">
        <v>93</v>
      </c>
      <c r="D25" s="11">
        <v>46104.52822920139</v>
      </c>
      <c r="E25" s="12">
        <v>48.0</v>
      </c>
      <c r="F25" s="10">
        <v>0.0</v>
      </c>
      <c r="G25" s="10" t="s">
        <v>4393</v>
      </c>
    </row>
    <row r="26">
      <c r="A26" s="10" t="s">
        <v>4399</v>
      </c>
      <c r="B26" s="10" t="s">
        <v>173</v>
      </c>
      <c r="C26" s="10" t="s">
        <v>246</v>
      </c>
      <c r="D26" s="11">
        <v>46104.52823603009</v>
      </c>
      <c r="E26" s="12">
        <v>17.0</v>
      </c>
      <c r="F26" s="10">
        <v>0.0</v>
      </c>
      <c r="G26" s="10" t="s">
        <v>4393</v>
      </c>
    </row>
    <row r="27">
      <c r="A27" s="10" t="s">
        <v>4399</v>
      </c>
      <c r="B27" s="10" t="s">
        <v>353</v>
      </c>
      <c r="C27" s="10" t="s">
        <v>354</v>
      </c>
      <c r="D27" s="11">
        <v>46104.5282412963</v>
      </c>
      <c r="E27" s="12">
        <v>42.0</v>
      </c>
      <c r="F27" s="10">
        <v>0.0</v>
      </c>
      <c r="G27" s="10" t="s">
        <v>4393</v>
      </c>
    </row>
    <row r="28">
      <c r="A28" s="10" t="s">
        <v>4399</v>
      </c>
      <c r="B28" s="10" t="s">
        <v>114</v>
      </c>
      <c r="C28" s="10" t="s">
        <v>115</v>
      </c>
      <c r="D28" s="11">
        <v>46104.52824855324</v>
      </c>
      <c r="E28" s="12">
        <v>59.0</v>
      </c>
      <c r="F28" s="10">
        <v>0.0</v>
      </c>
      <c r="G28" s="10" t="s">
        <v>4393</v>
      </c>
    </row>
    <row r="29">
      <c r="A29" s="10" t="s">
        <v>4391</v>
      </c>
      <c r="B29" s="10" t="s">
        <v>4402</v>
      </c>
      <c r="C29" s="10" t="s">
        <v>4403</v>
      </c>
      <c r="D29" s="11">
        <v>46104.52825685185</v>
      </c>
      <c r="E29" s="12">
        <v>0.0</v>
      </c>
      <c r="F29" s="10">
        <v>0.0</v>
      </c>
      <c r="G29" s="10" t="s">
        <v>4393</v>
      </c>
    </row>
    <row r="30">
      <c r="A30" s="10" t="s">
        <v>4402</v>
      </c>
      <c r="B30" s="10" t="s">
        <v>16</v>
      </c>
      <c r="C30" s="10" t="s">
        <v>57</v>
      </c>
      <c r="D30" s="11">
        <v>46104.5282608912</v>
      </c>
      <c r="E30" s="12">
        <v>21.0</v>
      </c>
      <c r="F30" s="10">
        <v>0.0</v>
      </c>
      <c r="G30" s="10" t="s">
        <v>4393</v>
      </c>
    </row>
    <row r="31">
      <c r="A31" s="10" t="s">
        <v>4402</v>
      </c>
      <c r="B31" s="10" t="s">
        <v>1682</v>
      </c>
      <c r="C31" s="10" t="s">
        <v>1683</v>
      </c>
      <c r="D31" s="11">
        <v>46104.52826497685</v>
      </c>
      <c r="E31" s="12">
        <v>9.0</v>
      </c>
      <c r="F31" s="10">
        <v>0.0</v>
      </c>
      <c r="G31" s="10" t="s">
        <v>4393</v>
      </c>
    </row>
    <row r="32">
      <c r="A32" s="10" t="s">
        <v>1682</v>
      </c>
      <c r="B32" s="10" t="s">
        <v>4394</v>
      </c>
      <c r="C32" s="10" t="s">
        <v>4404</v>
      </c>
      <c r="D32" s="11">
        <v>46104.5282691551</v>
      </c>
      <c r="E32" s="12">
        <v>0.0</v>
      </c>
      <c r="F32" s="10">
        <v>0.0</v>
      </c>
      <c r="G32" s="10" t="s">
        <v>4396</v>
      </c>
    </row>
    <row r="33">
      <c r="A33" s="10" t="s">
        <v>4391</v>
      </c>
      <c r="B33" s="10" t="s">
        <v>4405</v>
      </c>
      <c r="C33" s="10" t="s">
        <v>4406</v>
      </c>
      <c r="D33" s="11">
        <v>46104.52826921296</v>
      </c>
      <c r="E33" s="12">
        <v>0.0</v>
      </c>
      <c r="F33" s="10">
        <v>0.0</v>
      </c>
      <c r="G33" s="10" t="s">
        <v>4393</v>
      </c>
    </row>
    <row r="34">
      <c r="A34" s="10" t="s">
        <v>4405</v>
      </c>
      <c r="B34" s="10" t="s">
        <v>4394</v>
      </c>
      <c r="C34" s="10" t="s">
        <v>4407</v>
      </c>
      <c r="D34" s="11">
        <v>46104.52827377315</v>
      </c>
      <c r="E34" s="12">
        <v>0.0</v>
      </c>
      <c r="F34" s="12">
        <v>0.0</v>
      </c>
      <c r="G34" s="10" t="s">
        <v>4396</v>
      </c>
    </row>
    <row r="35">
      <c r="A35" s="10" t="s">
        <v>4405</v>
      </c>
      <c r="B35" s="10" t="s">
        <v>2895</v>
      </c>
      <c r="C35" s="10" t="s">
        <v>2896</v>
      </c>
      <c r="D35" s="11">
        <v>46104.528273819444</v>
      </c>
      <c r="E35" s="12">
        <v>11.0</v>
      </c>
      <c r="F35" s="12">
        <v>0.0</v>
      </c>
      <c r="G35" s="10" t="s">
        <v>4393</v>
      </c>
    </row>
    <row r="36">
      <c r="A36" s="10" t="s">
        <v>4405</v>
      </c>
      <c r="B36" s="10" t="s">
        <v>23</v>
      </c>
      <c r="C36" s="10" t="s">
        <v>24</v>
      </c>
      <c r="D36" s="11">
        <v>46104.52827712963</v>
      </c>
      <c r="E36" s="12">
        <v>141.0</v>
      </c>
      <c r="F36" s="12">
        <v>0.0</v>
      </c>
      <c r="G36" s="10" t="s">
        <v>4393</v>
      </c>
    </row>
    <row r="37">
      <c r="A37" s="10" t="s">
        <v>4405</v>
      </c>
      <c r="B37" s="10" t="s">
        <v>2888</v>
      </c>
      <c r="C37" s="10" t="s">
        <v>2889</v>
      </c>
      <c r="D37" s="11">
        <v>46104.52829192129</v>
      </c>
      <c r="E37" s="12">
        <v>11.0</v>
      </c>
      <c r="F37" s="12">
        <v>0.0</v>
      </c>
      <c r="G37" s="10" t="s">
        <v>4393</v>
      </c>
    </row>
    <row r="38">
      <c r="A38" s="10" t="s">
        <v>4405</v>
      </c>
      <c r="B38" s="10" t="s">
        <v>30</v>
      </c>
      <c r="C38" s="10" t="s">
        <v>31</v>
      </c>
      <c r="D38" s="11">
        <v>46104.52829671296</v>
      </c>
      <c r="E38" s="12">
        <v>82.0</v>
      </c>
      <c r="F38" s="12">
        <v>0.0</v>
      </c>
      <c r="G38" s="10" t="s">
        <v>4393</v>
      </c>
    </row>
    <row r="39">
      <c r="A39" s="10" t="s">
        <v>4405</v>
      </c>
      <c r="B39" s="10" t="s">
        <v>16</v>
      </c>
      <c r="C39" s="10" t="s">
        <v>17</v>
      </c>
      <c r="D39" s="11">
        <v>46104.52830695602</v>
      </c>
      <c r="E39" s="12">
        <v>141.0</v>
      </c>
      <c r="F39" s="12">
        <v>0.0</v>
      </c>
      <c r="G39" s="10" t="s">
        <v>4393</v>
      </c>
    </row>
    <row r="40">
      <c r="A40" s="10" t="s">
        <v>4391</v>
      </c>
      <c r="B40" s="10" t="s">
        <v>63</v>
      </c>
      <c r="C40" s="10" t="s">
        <v>64</v>
      </c>
      <c r="D40" s="11">
        <v>46104.528327210646</v>
      </c>
      <c r="E40" s="12">
        <v>17.0</v>
      </c>
      <c r="F40" s="12">
        <v>0.0</v>
      </c>
      <c r="G40" s="10" t="s">
        <v>4393</v>
      </c>
    </row>
    <row r="41">
      <c r="A41" s="10" t="s">
        <v>4391</v>
      </c>
      <c r="B41" s="10" t="s">
        <v>70</v>
      </c>
      <c r="C41" s="10" t="s">
        <v>71</v>
      </c>
      <c r="D41" s="11">
        <v>46104.528331608795</v>
      </c>
      <c r="E41" s="12">
        <v>40.0</v>
      </c>
      <c r="F41" s="12">
        <v>0.0</v>
      </c>
      <c r="G41" s="10" t="s">
        <v>4393</v>
      </c>
    </row>
    <row r="42">
      <c r="A42" s="10" t="s">
        <v>70</v>
      </c>
      <c r="B42" s="10" t="s">
        <v>4394</v>
      </c>
      <c r="C42" s="10" t="s">
        <v>4408</v>
      </c>
      <c r="D42" s="11">
        <v>46104.52833884259</v>
      </c>
      <c r="E42" s="12">
        <v>0.0</v>
      </c>
      <c r="F42" s="12">
        <v>0.0</v>
      </c>
      <c r="G42" s="10" t="s">
        <v>4396</v>
      </c>
    </row>
  </sheetData>
  <autoFilter ref="$A$1:$Z$42">
    <sortState ref="A1:Z42">
      <sortCondition ref="A1:A42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4409</v>
      </c>
      <c r="B1" s="10" t="s">
        <v>4410</v>
      </c>
      <c r="C1" s="10" t="s">
        <v>0</v>
      </c>
      <c r="D1" s="10" t="s">
        <v>1</v>
      </c>
      <c r="E1" s="10" t="s">
        <v>2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>
      <c r="A2" s="10"/>
      <c r="B2" s="10"/>
      <c r="C2" s="10"/>
      <c r="D2" s="10"/>
      <c r="E2" s="10"/>
      <c r="F2" s="10"/>
      <c r="G2" s="10"/>
      <c r="H2" s="10"/>
      <c r="I2" s="13"/>
      <c r="J2" s="13"/>
      <c r="K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75"/>
    <col customWidth="1" min="3" max="3" width="14.25"/>
  </cols>
  <sheetData>
    <row r="1">
      <c r="A1" s="1" t="s">
        <v>4411</v>
      </c>
      <c r="B1" s="1" t="s">
        <v>4412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0.75" customHeight="1">
      <c r="A2" s="1" t="s">
        <v>333</v>
      </c>
      <c r="B2" s="6" t="s">
        <v>4413</v>
      </c>
      <c r="C2" s="4" t="str">
        <f t="shared" ref="C2:C26" si="1">IMAGE(B2,2)</f>
        <v/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501</v>
      </c>
      <c r="B3" s="6" t="s">
        <v>4414</v>
      </c>
      <c r="C3" s="4" t="str">
        <f t="shared" si="1"/>
        <v/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957</v>
      </c>
      <c r="B4" s="6" t="s">
        <v>4415</v>
      </c>
      <c r="C4" s="4" t="str">
        <f t="shared" si="1"/>
        <v/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832</v>
      </c>
      <c r="B5" s="14" t="s">
        <v>4416</v>
      </c>
      <c r="C5" s="4" t="str">
        <f t="shared" si="1"/>
        <v/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1076</v>
      </c>
      <c r="B6" s="6" t="s">
        <v>4417</v>
      </c>
      <c r="C6" s="4" t="str">
        <f t="shared" si="1"/>
        <v/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1451</v>
      </c>
      <c r="B7" s="6" t="s">
        <v>4418</v>
      </c>
      <c r="C7" s="4" t="str">
        <f t="shared" si="1"/>
        <v/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4419</v>
      </c>
      <c r="B8" s="6" t="s">
        <v>4420</v>
      </c>
      <c r="C8" s="4" t="str">
        <f t="shared" si="1"/>
        <v/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 t="str">
        <f t="shared" si="1"/>
        <v/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 t="str">
        <f t="shared" si="1"/>
        <v/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 t="str">
        <f t="shared" si="1"/>
        <v/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 t="str">
        <f t="shared" si="1"/>
        <v/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 t="str">
        <f t="shared" si="1"/>
        <v/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 t="str">
        <f t="shared" si="1"/>
        <v/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 t="str">
        <f t="shared" si="1"/>
        <v/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 t="str">
        <f t="shared" si="1"/>
        <v/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 t="str">
        <f t="shared" si="1"/>
        <v/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 t="str">
        <f t="shared" si="1"/>
        <v/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 t="str">
        <f t="shared" si="1"/>
        <v/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 t="str">
        <f t="shared" si="1"/>
        <v/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 t="str">
        <f t="shared" si="1"/>
        <v/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 t="str">
        <f t="shared" si="1"/>
        <v/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 t="str">
        <f t="shared" si="1"/>
        <v/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 t="str">
        <f t="shared" si="1"/>
        <v/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 t="str">
        <f t="shared" si="1"/>
        <v/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 t="str">
        <f t="shared" si="1"/>
        <v/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A8"/>
    <hyperlink r:id="rId8" ref="B8"/>
  </hyperlinks>
  <drawing r:id="rId9"/>
</worksheet>
</file>